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elinaliyev/Desktop/GENOMER/"/>
    </mc:Choice>
  </mc:AlternateContent>
  <xr:revisionPtr revIDLastSave="0" documentId="13_ncr:1_{320E3483-27A9-9F4E-9812-FA905CB6D8D5}" xr6:coauthVersionLast="47" xr6:coauthVersionMax="47" xr10:uidLastSave="{00000000-0000-0000-0000-000000000000}"/>
  <bookViews>
    <workbookView xWindow="0" yWindow="660" windowWidth="30240" windowHeight="17460" xr2:uid="{D3A05F42-D992-494B-8B35-EFB1A67695B8}"/>
  </bookViews>
  <sheets>
    <sheet name="TR"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9" i="2" l="1"/>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H119" authorId="0" shapeId="0" xr:uid="{5F924713-E950-4BBB-8A26-59A1206D1329}">
      <text>
        <r>
          <rPr>
            <sz val="11"/>
            <color theme="1"/>
            <rFont val="Calibri"/>
            <family val="2"/>
            <scheme val="minor"/>
          </rPr>
          <t xml:space="preserve">[Témakörökbe rendezett megjegyzés]
Ebben az Excel-verzióban olvasni tudja ezt a témakörökbe rendezett megjegyzést, ha viszont újabb Excel-verzióban nyitja meg a fájlt, eltávolítjuk a módosításait a megjegyzésből. További információ: https://go.microsoft.com/fwlink/?linkid=870924
Megjegyzés:
    That's what I'm saying. Everyone uses microflora or microbiota.
</t>
        </r>
      </text>
    </comment>
  </commentList>
</comments>
</file>

<file path=xl/sharedStrings.xml><?xml version="1.0" encoding="utf-8"?>
<sst xmlns="http://schemas.openxmlformats.org/spreadsheetml/2006/main" count="665" uniqueCount="471">
  <si>
    <t>Ad Soyad</t>
  </si>
  <si>
    <t>BT142</t>
  </si>
  <si>
    <t>Anaeroblar</t>
  </si>
  <si>
    <t>BT141</t>
  </si>
  <si>
    <t>Aeroblar</t>
  </si>
  <si>
    <t>BT140</t>
  </si>
  <si>
    <t>Sevk eden kurum:</t>
  </si>
  <si>
    <t>BT139</t>
  </si>
  <si>
    <t>Hasta dosyası:</t>
  </si>
  <si>
    <t>BT138</t>
  </si>
  <si>
    <t>HPV 31/33/35/39/51/52/56/58/59/66/68 genotiplendirme yapılmadan</t>
  </si>
  <si>
    <t>BT137</t>
  </si>
  <si>
    <t>Zorunlu patojenler</t>
  </si>
  <si>
    <t>BT136</t>
  </si>
  <si>
    <t>FEMOFLOR&amp;lt;SUP&amp;gt;®&amp;lt;/SUP&amp;gt;DeltaScreen</t>
  </si>
  <si>
    <t>BT135</t>
  </si>
  <si>
    <t>FEMOFLOR&amp;lt;SUP&amp;gt;®&amp;lt;/SUP&amp;gt;AlphaScreen</t>
  </si>
  <si>
    <t>BT134</t>
  </si>
  <si>
    <t>İmza</t>
  </si>
  <si>
    <t>BT133</t>
  </si>
  <si>
    <t>Laboratuvar sorumlusu</t>
  </si>
  <si>
    <t>BT132</t>
  </si>
  <si>
    <t>Analizi yapan</t>
  </si>
  <si>
    <t>BT131</t>
  </si>
  <si>
    <t>Analiz tarihi</t>
  </si>
  <si>
    <t>BT130</t>
  </si>
  <si>
    <t>Test sonucu&amp;lt;br&amp;gt;interaktif&amp;lt;br&amp;gt;formatta</t>
  </si>
  <si>
    <t>BP129</t>
  </si>
  <si>
    <t>ÖNEMLİ!&amp;lt;br&amp;gt;Nihai sonuç yalnızca alım lokusu belirtildiğinde (V, C) oluşturulur.&amp;lt;br&amp;gt;Sonucun yorumu yalnızca tedavi eden hekim tarafından yapılır!</t>
  </si>
  <si>
    <t>BP128</t>
  </si>
  <si>
    <t>İNSAN PAPİLLOMA VİRÜSLERİ (HPV)</t>
  </si>
  <si>
    <t>BT127</t>
  </si>
  <si>
    <t>HERPES VİRÜSLERİ</t>
  </si>
  <si>
    <t>BT126</t>
  </si>
  <si>
    <t>ZORUNLU PATOJENLER</t>
  </si>
  <si>
    <t>BT125</t>
  </si>
  <si>
    <t>PATOJENLER</t>
  </si>
  <si>
    <t>BT124</t>
  </si>
  <si>
    <t>B grubu streptokok</t>
  </si>
  <si>
    <t>BT123</t>
  </si>
  <si>
    <t>Maya mantarları</t>
  </si>
  <si>
    <t>BT122</t>
  </si>
  <si>
    <t>MİKOPLAZMALAR, toplam pay</t>
  </si>
  <si>
    <t>BT121</t>
  </si>
  <si>
    <t>ANAEROBLAR, toplam pay</t>
  </si>
  <si>
    <t>BT120</t>
  </si>
  <si>
    <t>AEROBLAR, toplam pay</t>
  </si>
  <si>
    <t>BT119</t>
  </si>
  <si>
    <t>NORMOBİYOTA, toplam pay</t>
  </si>
  <si>
    <t>BT118</t>
  </si>
  <si>
    <t>Mikrobiyota durumu</t>
  </si>
  <si>
    <t>BT117</t>
  </si>
  <si>
    <t>Referans</t>
  </si>
  <si>
    <t>BT116</t>
  </si>
  <si>
    <t>Sonuç</t>
  </si>
  <si>
    <t>BT115</t>
  </si>
  <si>
    <t>lg GE/mL</t>
  </si>
  <si>
    <t>BT114</t>
  </si>
  <si>
    <t>saptanmadı</t>
  </si>
  <si>
    <t>BT113</t>
  </si>
  <si>
    <t>SAPTANDI</t>
  </si>
  <si>
    <t>BT112</t>
  </si>
  <si>
    <t>Toplam bakteriyel yük</t>
  </si>
  <si>
    <t>BT111</t>
  </si>
  <si>
    <t>İnsan genomik DNA’sı</t>
  </si>
  <si>
    <t>BT110</t>
  </si>
  <si>
    <t>Kontrol parametreleri</t>
  </si>
  <si>
    <t>BT109</t>
  </si>
  <si>
    <t>Hekim:</t>
  </si>
  <si>
    <t>BT108</t>
  </si>
  <si>
    <t>Örnek ID:</t>
  </si>
  <si>
    <t>BT107</t>
  </si>
  <si>
    <t>Alım lokusu:</t>
  </si>
  <si>
    <t>BT106</t>
  </si>
  <si>
    <t>Örnek alma tarihi:</t>
  </si>
  <si>
    <t>BT105</t>
  </si>
  <si>
    <t>Doğum tarihi:</t>
  </si>
  <si>
    <t>BT104</t>
  </si>
  <si>
    <t>Ad Soyad:</t>
  </si>
  <si>
    <t>BT103</t>
  </si>
  <si>
    <t>Kadın mikroflorasının analizi</t>
  </si>
  <si>
    <t>BT102</t>
  </si>
  <si>
    <t>FEMOFLOR&amp;lt;SUP&amp;gt;®&amp;lt;/SUP&amp;gt;II</t>
  </si>
  <si>
    <t>BT101</t>
  </si>
  <si>
    <t>Daha fazla bilgi için</t>
  </si>
  <si>
    <t>BP066</t>
  </si>
  <si>
    <t>Patojenler</t>
  </si>
  <si>
    <t>BP064</t>
  </si>
  <si>
    <t>Normobiyota</t>
  </si>
  <si>
    <t>BP063</t>
  </si>
  <si>
    <t>Normal alt sınırı: %80</t>
  </si>
  <si>
    <t>BP062</t>
  </si>
  <si>
    <t>Mikoplazmalar</t>
  </si>
  <si>
    <t>BP061</t>
  </si>
  <si>
    <t>Nihai değerlendirme</t>
  </si>
  <si>
    <t>BP059</t>
  </si>
  <si>
    <t>Tür oranı, %</t>
  </si>
  <si>
    <t>BP055</t>
  </si>
  <si>
    <t>*Tür temsilcileri:</t>
  </si>
  <si>
    <t>BP053</t>
  </si>
  <si>
    <t>&amp;lt;b&amp;gt;Terminoloji ve tanımlamalar&amp;lt;/b&amp;gt;&amp;lt;br&amp;gt;Anaeroblar — zorunlu anaerob, potansiyel patojen mikroorganizmalar. Mikoplazmalar — potansiyel patojen genital mikoplazmalar.&amp;lt;br&amp;gt;Kısa çizgi (—) negatif sonucu belirtir; “/” ile gösterim birleşik belirlemeyi ifade eder.</t>
  </si>
  <si>
    <t>BP052</t>
  </si>
  <si>
    <t>&amp;lt;b&amp;gt;Terminoloji ve tanımlamalar&amp;lt;/b&amp;gt;&amp;lt;br&amp;gt;Aeroblar — fakültatif anaeroblar; anaeroblar — zorunlu anaeroblar. Mikoplazmalar — potansiyel patojen genital mikoplazmalar.&amp;lt;br&amp;gt;Kısa çizgi (—) negatif sonucu belirtir; “/” ile gösterim birleşik belirlemeyi ifade eder.</t>
  </si>
  <si>
    <t>BP051</t>
  </si>
  <si>
    <t>&amp;lt;br&amp;gt;● HPV 31–68 — HPV31/33/35/39/51/52/56/58/59/66/68 arasında ayrım yapılmadan birleşik saptama.&amp;lt;br&amp;gt;&amp;lt;i&amp;gt;● Streptococcus agalactiae&amp;lt;/i&amp;gt; için referans:&amp;lt;br&amp;gt;gebelik yaşı ≥37–38 hafta — negatif sonuç; diğer tüm durumlarda — &amp;amp;lt;4,0 lg GE/mL.&amp;lt;br&amp;gt;&amp;lt;br&amp;gt;&amp;lt;b&amp;gt;Rapor formundaki infografik türleri&amp;lt;/b&amp;gt;&amp;lt;br&amp;gt;- renkli gösterge — mikrobiyota durumunun genel değerlendirmesi (öbiyoz, orta veya belirgin disbiyoz);&amp;lt;br&amp;gt;- doğrusal histogram (yatay çubuk grafik) — mikrobiyotadaki normobiyota, aeroblar, anaeroblar ve mikoplazmaların oranlarının gösterimi;&amp;lt;br&amp;gt;- sütun grafiği — mikroorganizmaların bireysel profili.&amp;lt;br&amp;gt;&amp;lt;br&amp;gt;&amp;lt;b&amp;gt;Terminoloji ve tanımlamalar&amp;lt;/b&amp;gt;&amp;lt;br&amp;gt;Aeroblar — fakültatif anaerob, potansiyel patojen mikroorganizmalar.&amp;amp;nbsp;Anaeroblar — zorunlu anaerob, potansiyel patojen mikroorganizmalar.&amp;amp;nbsp;Mikoplazmalar — potansiyel patojen genital mikoplazmalar.&amp;amp;nbsp;&amp;lt;br&amp;gt;Kısa çizgi (—) negatif sonucu belirtir; “/” ile gösterim birleşik belirlemeyi ifade eder.</t>
  </si>
  <si>
    <t>BP050</t>
  </si>
  <si>
    <t>BP049</t>
  </si>
  <si>
    <t xml:space="preserve"> ve anaerobların</t>
  </si>
  <si>
    <t>BP047</t>
  </si>
  <si>
    <t>Aerobların</t>
  </si>
  <si>
    <t>BP046</t>
  </si>
  <si>
    <t>Aerobların göreli bolluğu artmış</t>
  </si>
  <si>
    <t>BP045</t>
  </si>
  <si>
    <t>Anaerobların göreli bolluğu artmış</t>
  </si>
  <si>
    <t>BP044</t>
  </si>
  <si>
    <t>&amp;lt;i&amp;gt;Lactobacillus&amp;lt;/i&amp;gt;&amp;amp;nbsp;spp. bağıl bolluğu azalmış</t>
  </si>
  <si>
    <t>BP043</t>
  </si>
  <si>
    <t>&amp;lt;i&amp;gt;Lactobacillus&amp;lt;/i&amp;gt;&amp;amp;nbsp;spp. bağıl bolluğu referans aralığında:</t>
  </si>
  <si>
    <t>BP042</t>
  </si>
  <si>
    <t xml:space="preserve"> göreli bolluğu artmış.</t>
  </si>
  <si>
    <t>BP041</t>
  </si>
  <si>
    <t>.</t>
  </si>
  <si>
    <t>BP040</t>
  </si>
  <si>
    <t>&amp;lt;b&amp;gt;NB!&amp;lt;/b&amp;gt; Toplam bakteriyel yük azalmış; mikrobiyota değerlendirmesi belirli göstergelerle sınırlıdır.</t>
  </si>
  <si>
    <t>BP023</t>
  </si>
  <si>
    <t>BP022</t>
  </si>
  <si>
    <t xml:space="preserve">%’e düşmüştür, </t>
  </si>
  <si>
    <t>BP021</t>
  </si>
  <si>
    <t xml:space="preserve">Normal mikrobiyota </t>
  </si>
  <si>
    <t>BP020</t>
  </si>
  <si>
    <t xml:space="preserve">Normal mikrobiyota normal sınırlar içinde, </t>
  </si>
  <si>
    <t>BP019</t>
  </si>
  <si>
    <t>&amp;lt;b&amp;gt;etiolojisi belirlenemeyen şiddetli disbiyoz&amp;lt;/b&amp;gt;</t>
  </si>
  <si>
    <t>BP018</t>
  </si>
  <si>
    <t>: normal mikrobiyota baskın</t>
  </si>
  <si>
    <t>BP017</t>
  </si>
  <si>
    <t>&amp;lt;b&amp;gt;eübiyoz&amp;lt;/b&amp;gt;</t>
  </si>
  <si>
    <t>BP016</t>
  </si>
  <si>
    <t>&amp;lt;b&amp;gt;NB!&amp;lt;/b&amp;gt; Bu testle saptanamayan mikroorganizmalar bulunabilir.</t>
  </si>
  <si>
    <t>BP015</t>
  </si>
  <si>
    <t>&amp;lt;b&amp;gt;NB!&amp;lt;/b&amp;gt; Toplam bakteriyel yük azalmış. Kantifikasyon doğruluğu düşük olabilir. Bu testle saptanamayan mikroorganizmalar bulunabilir.</t>
  </si>
  <si>
    <t>BP014</t>
  </si>
  <si>
    <t>&amp;lt;b&amp;gt;NB!&amp;lt;/b&amp;gt; Toplam bakteriyel yük azalmış. Kantifikasyon doğruluğu düşük olabilir.</t>
  </si>
  <si>
    <t>BP013</t>
  </si>
  <si>
    <t>BP012</t>
  </si>
  <si>
    <t>&amp;lt;b&amp;gt;NB!&amp;lt;/b&amp;gt; Bu testle saptanamayan mikroorganizmaların bulunması muhtemel. Toplam bakteriyel yük azalmış. Kantifikasyon doğruluğu düşük olabilir.</t>
  </si>
  <si>
    <t>BP011</t>
  </si>
  <si>
    <t>BP010</t>
  </si>
  <si>
    <t>BP009</t>
  </si>
  <si>
    <t>BP008</t>
  </si>
  <si>
    <t>BP007</t>
  </si>
  <si>
    <t>BP006</t>
  </si>
  <si>
    <t>BP005</t>
  </si>
  <si>
    <t>&amp;lt;b&amp;gt;NB!&amp;lt;/b&amp;gt; Biyomateryal kontrol göstergeleri eşiklerin altında; mikrobiyota durumunun değerlendirilmesi yapılamaz.</t>
  </si>
  <si>
    <t>BP004</t>
  </si>
  <si>
    <t>BP003</t>
  </si>
  <si>
    <t>Patojen mikroorganizmalar saptanmadı.</t>
  </si>
  <si>
    <t>BP002</t>
  </si>
  <si>
    <t>&amp;lt;b&amp;gt;Saptanan:&amp;lt;/b&amp;gt;</t>
  </si>
  <si>
    <t>BP001</t>
  </si>
  <si>
    <t>, fırsatçı mikroorganizmaların göreceli bolluğu artmıştır.</t>
  </si>
  <si>
    <t>BV7.5</t>
  </si>
  <si>
    <t>. Zorunlu patojenler baskındır.</t>
  </si>
  <si>
    <t>BV7.4</t>
  </si>
  <si>
    <t>, mikoplazmaların göreceli bolluğu artmıştır.</t>
  </si>
  <si>
    <t>BV7.3</t>
  </si>
  <si>
    <t>, anaerobların göreceli bolluğu artmıştır.</t>
  </si>
  <si>
    <t>BV7.2</t>
  </si>
  <si>
    <t>, aerobların göreceli bolluğu artmıştır.</t>
  </si>
  <si>
    <t>BV7.1</t>
  </si>
  <si>
    <t>BV4.2</t>
  </si>
  <si>
    <t>BV4.1</t>
  </si>
  <si>
    <t>&amp;lt;b&amp;gt;karma disbiyoz&amp;lt;/b&amp;gt;</t>
  </si>
  <si>
    <t>BV3.5</t>
  </si>
  <si>
    <t>&amp;lt;b&amp;gt;mikoplazma ile ilişkili disbiyoz&amp;lt;/b&amp;gt;</t>
  </si>
  <si>
    <t>BV3.3</t>
  </si>
  <si>
    <t>&amp;lt;b&amp;gt;anaerobik disbiyoz&amp;lt;/b&amp;gt;</t>
  </si>
  <si>
    <t>BV3.2</t>
  </si>
  <si>
    <t>&amp;lt;b&amp;gt;aerobik disbiyoz&amp;lt;/b&amp;gt;</t>
  </si>
  <si>
    <t>BV3.1</t>
  </si>
  <si>
    <t>&amp;lt;b&amp;gt;şiddetli &amp;lt;/b&amp;gt;</t>
  </si>
  <si>
    <t>BV2.2</t>
  </si>
  <si>
    <t>&amp;lt;b&amp;gt;orta düzeyde &amp;lt;/b&amp;gt;</t>
  </si>
  <si>
    <t>BV2.1</t>
  </si>
  <si>
    <t>aeroblar mevcut</t>
  </si>
  <si>
    <t>BF049</t>
  </si>
  <si>
    <t>anaeroblar ve aeroblar mevcut</t>
  </si>
  <si>
    <t>BF048</t>
  </si>
  <si>
    <t>anaeroblar mevcut</t>
  </si>
  <si>
    <t>BF047</t>
  </si>
  <si>
    <t xml:space="preserve">, </t>
  </si>
  <si>
    <t>BF-K7</t>
  </si>
  <si>
    <t>%</t>
  </si>
  <si>
    <t>BF-K4</t>
  </si>
  <si>
    <t xml:space="preserve">Bifidobacterium spp. </t>
  </si>
  <si>
    <t>BF-K3</t>
  </si>
  <si>
    <t xml:space="preserve">Lactobacillus spp. </t>
  </si>
  <si>
    <t>BF-K2</t>
  </si>
  <si>
    <t xml:space="preserve">, göreceli bolluğu </t>
  </si>
  <si>
    <t>BF-K1</t>
  </si>
  <si>
    <t xml:space="preserve"> düzeyine düşmüştür</t>
  </si>
  <si>
    <t>BF-G1</t>
  </si>
  <si>
    <t xml:space="preserve">: normal mikrobiyota </t>
  </si>
  <si>
    <t>BF-C5</t>
  </si>
  <si>
    <t xml:space="preserve">Mikrobiyota durumu - </t>
  </si>
  <si>
    <t>BF-C1</t>
  </si>
  <si>
    <t>ST043</t>
  </si>
  <si>
    <t>ST042</t>
  </si>
  <si>
    <t>ST041</t>
  </si>
  <si>
    <t>ST040</t>
  </si>
  <si>
    <t>&amp;lt;b&amp;gt;Saptandı&amp;lt;/b&amp;gt;</t>
  </si>
  <si>
    <t>ST039</t>
  </si>
  <si>
    <t>DNA</t>
  </si>
  <si>
    <t>ST038</t>
  </si>
  <si>
    <t>ST037</t>
  </si>
  <si>
    <t>&amp;lt;p&amp;gt;X lg GE/mL — 1 mL örnekte 10&amp;lt;sup&amp;gt;X&amp;lt;/sup&amp;gt; genom eşdeğeri; % — bağıl bolluk&amp;lt;/p&amp;gt;</t>
  </si>
  <si>
    <t>ST036</t>
  </si>
  <si>
    <t>notu gör</t>
  </si>
  <si>
    <t>ST034</t>
  </si>
  <si>
    <t>FMO</t>
  </si>
  <si>
    <t>ST033</t>
  </si>
  <si>
    <t>ST032</t>
  </si>
  <si>
    <t>ST031</t>
  </si>
  <si>
    <t>baskın</t>
  </si>
  <si>
    <t>ST030</t>
  </si>
  <si>
    <t>Genital mikoplazmalar</t>
  </si>
  <si>
    <t>ST029</t>
  </si>
  <si>
    <t>ST028</t>
  </si>
  <si>
    <t>ST027</t>
  </si>
  <si>
    <t>Şiddetli disbiyoz</t>
  </si>
  <si>
    <t>ST026</t>
  </si>
  <si>
    <t>Orta düzey disbiyoz</t>
  </si>
  <si>
    <t>ST025</t>
  </si>
  <si>
    <t>Eübiyoz</t>
  </si>
  <si>
    <t>ST024</t>
  </si>
  <si>
    <t>Dikkat!</t>
  </si>
  <si>
    <t>ST023</t>
  </si>
  <si>
    <t>Kontrol +</t>
  </si>
  <si>
    <t>ST022</t>
  </si>
  <si>
    <t>Kontrol −</t>
  </si>
  <si>
    <t>ST021</t>
  </si>
  <si>
    <t>ST020</t>
  </si>
  <si>
    <t>SONUÇ, lg GE/mL</t>
  </si>
  <si>
    <t>ST019</t>
  </si>
  <si>
    <t>ST018</t>
  </si>
  <si>
    <t>TMM</t>
  </si>
  <si>
    <t>ST017</t>
  </si>
  <si>
    <t>ST016</t>
  </si>
  <si>
    <t>ST015</t>
  </si>
  <si>
    <t>Sonuçlar</t>
  </si>
  <si>
    <t>ST014</t>
  </si>
  <si>
    <t>Örnekler</t>
  </si>
  <si>
    <t>ST013</t>
  </si>
  <si>
    <t>Tüm örnekler:</t>
  </si>
  <si>
    <t>ST012</t>
  </si>
  <si>
    <t>No.</t>
  </si>
  <si>
    <t>ST011</t>
  </si>
  <si>
    <t>Test adı</t>
  </si>
  <si>
    <t>ST010</t>
  </si>
  <si>
    <t>Bağıl, %</t>
  </si>
  <si>
    <t>ST009</t>
  </si>
  <si>
    <t>lg</t>
  </si>
  <si>
    <t>ST008</t>
  </si>
  <si>
    <t>Bölgesel ayarlar</t>
  </si>
  <si>
    <t>ST007</t>
  </si>
  <si>
    <t>Excel (*.csv)</t>
  </si>
  <si>
    <t>ST006</t>
  </si>
  <si>
    <t>Excel’e kopyala</t>
  </si>
  <si>
    <t>ST005</t>
  </si>
  <si>
    <t>Panoya kopyala</t>
  </si>
  <si>
    <t>ST004</t>
  </si>
  <si>
    <t>lg değerini CrossExcel’e kopyala</t>
  </si>
  <si>
    <t>ST003</t>
  </si>
  <si>
    <t>Excel’e kaydet (*.csv)...</t>
  </si>
  <si>
    <t>ST002</t>
  </si>
  <si>
    <t xml:space="preserve">    Sonuç</t>
  </si>
  <si>
    <t>ST001</t>
  </si>
  <si>
    <t>Dikkat! Protokoldeki ek parametreler doldurulmamış. Analiz sonuçları hatalı olabilir!</t>
  </si>
  <si>
    <t>SP007</t>
  </si>
  <si>
    <t>SP006</t>
  </si>
  <si>
    <t>Bu örnekler için rapor oluşturmayı etkinleştir.</t>
  </si>
  <si>
    <t>SP004</t>
  </si>
  <si>
    <t>Geçersiz sonuç! Optik kanallar eksik</t>
  </si>
  <si>
    <t>SP003</t>
  </si>
  <si>
    <t>&amp;lt;b&amp;gt;Geçersiz sonuç.&amp;lt;/b&amp;gt;</t>
  </si>
  <si>
    <t>SP002</t>
  </si>
  <si>
    <t>SP001</t>
  </si>
  <si>
    <t>,</t>
  </si>
  <si>
    <t>B_DOT</t>
  </si>
  <si>
    <t>Comments</t>
  </si>
  <si>
    <t>TR - Türkçe</t>
  </si>
  <si>
    <t>&amp;lt;b&amp;gt;Numune tipi belirtilmemiştir (V, C).&amp;lt;/b&amp;gt;</t>
  </si>
  <si>
    <t xml:space="preserve">   Dikkat! Bu protokolde otomatik olarak oluşturulmuş test sonucu yorumu bulunmayan numuneler (aşağıya bakınız) mevcuttur! Bu tür numuneler için rapor formu mevcut değildir! Olası nedenlerin değerlendirilmesi ve uygun düzeltici işlemlerin yapılması gereklidir (PCR’ın tekrarlanması, yeniden ekstraksiyon vb.).</t>
  </si>
  <si>
    <t>Toplam bakteri miktarı</t>
  </si>
  <si>
    <t>SONUÇ, kalitatif</t>
  </si>
  <si>
    <t>FEMOFLOR®II</t>
  </si>
  <si>
    <t>NORMAL MİKROBİYOTA</t>
  </si>
  <si>
    <t>NORMAL MİKROBİYOTA + fırsatçı patojen mikroorganizmalar</t>
  </si>
  <si>
    <t>&amp;lt;b&amp;gt;NB!&amp;lt;/b&amp;gt; Numunede insan genomik DNA’sı saptanmadı! Analiz yapılamaz.</t>
  </si>
  <si>
    <t>&amp;lt;b&amp;gt;NB!&amp;lt;/b&amp;gt; İnsan genomik DNA miktarı düşük. Mikrobiyota, test ile tespit edilemeyen mikroorganizmalar içerebilir.</t>
  </si>
  <si>
    <t>&amp;lt;b&amp;gt;NB!&amp;lt;/b&amp;gt; Toplam bakteriyel yük ve insan genomik DNA’sı düşük. Kantitatif hesaplamaların doğruluğu düşük olabilir. Mikrobiyota, test ile tespit edilemeyen mikroorganizmalar içerebilir.</t>
  </si>
  <si>
    <t>&amp;lt;b&amp;gt;NB!&amp;lt;/b&amp;gt; Toplam bakteriyel yük ve insan genomik DNA’sı düşük. Kantitatif hesaplamaların doğruluğu düşük olabilir.</t>
  </si>
  <si>
    <t>&amp;lt;b&amp;gt;NB!&amp;lt;/b&amp;gt; İnsan genomik DNA miktarı düşük.</t>
  </si>
  <si>
    <t>&amp;lt;b&amp;gt;NB!&amp;lt;/b&amp;gt; Toplam bakteriyel yük düşük; mikrobiyota durumu analizi yapılamaz.</t>
  </si>
  <si>
    <t>&amp;lt;b&amp;gt;NB!&amp;lt;/b&amp;gt; Toplam bakteriyel yük ve insan genomik DNA’sı düşük; mikrobiyota değerlendirmesi belirli göstergelerle sınırlıdır.</t>
  </si>
  <si>
    <t>&amp;lt;b&amp;gt;Notlar&amp;lt;/b&amp;gt;&amp;lt;br&amp;gt;● Göreceli miktar, toplam miktara göre oran olarak hesaplanır.&amp;lt;br&amp;gt;Sonuç doğruluğu, yöntemin analitik hatasından ve numunede test ile tespit edilemeyen mikroorganizmaların varlığından etkilenebilir.</t>
  </si>
  <si>
    <t>First version</t>
  </si>
  <si>
    <t>English translation</t>
  </si>
  <si>
    <t xml:space="preserve">match </t>
  </si>
  <si>
    <t>Version with your corrections</t>
  </si>
  <si>
    <t>&amp;lt;b&amp;gt;Sample type not specified.&amp;lt;/b&amp;gt;</t>
  </si>
  <si>
    <t>&amp;lt;b&amp;gt;Invalid result.&amp;lt;/b&amp;gt;</t>
  </si>
  <si>
    <t>Invalid result! Optical channels are missing</t>
  </si>
  <si>
    <t>Enable report generation for these samples.</t>
  </si>
  <si>
    <t xml:space="preserve">   Attention! This protocol contains samples without automatically generated test result interpretations! For such samples, the report form is unavailable! Please evaluate potential causes and perform corrective actions (e.g., repeating PCR, repeating extraction,etc.).</t>
  </si>
  <si>
    <t>Attention! Additional protocol parameters are not filled in. Analysis results interpretation may be inaccurate!</t>
  </si>
  <si>
    <t xml:space="preserve">    Conclusion</t>
  </si>
  <si>
    <t>Save to Excel (*.csv)...</t>
  </si>
  <si>
    <t>Copy lg to CrossExcel</t>
  </si>
  <si>
    <t>Copy to clipboard</t>
  </si>
  <si>
    <t>Copy to Excel</t>
  </si>
  <si>
    <t>Regional settings</t>
  </si>
  <si>
    <t>Relative, %</t>
  </si>
  <si>
    <t>Test name</t>
  </si>
  <si>
    <t>All samples:</t>
  </si>
  <si>
    <t>Samples</t>
  </si>
  <si>
    <t>Results</t>
  </si>
  <si>
    <t>Human genomic DNA</t>
  </si>
  <si>
    <t>TBL</t>
  </si>
  <si>
    <t>TMD</t>
  </si>
  <si>
    <t>RESULT, qualitative</t>
  </si>
  <si>
    <t>RESULT, lg GE/mL</t>
  </si>
  <si>
    <t>Control −</t>
  </si>
  <si>
    <t>Control +</t>
  </si>
  <si>
    <t>Attention!</t>
  </si>
  <si>
    <t>Eubiosis</t>
  </si>
  <si>
    <t>Moderate dysbiosis</t>
  </si>
  <si>
    <t>Pronounced dysbiosis</t>
  </si>
  <si>
    <t>Aerobes</t>
  </si>
  <si>
    <t>Anaerobes</t>
  </si>
  <si>
    <t>Genital mycoplasmas</t>
  </si>
  <si>
    <t>predominance of</t>
  </si>
  <si>
    <t>NORMAL MICROBIOTA</t>
  </si>
  <si>
    <t xml:space="preserve"> OM= opportunsitic</t>
  </si>
  <si>
    <t>NORMAL MICROBIOTA + OM</t>
  </si>
  <si>
    <t>OM</t>
  </si>
  <si>
    <t>see note</t>
  </si>
  <si>
    <t>&amp;lt;p&amp;gt;X lg GE/mL — 10&amp;lt;sup&amp;gt;X&amp;lt;/sup&amp;gt; genome equivalents per 1 mL of sample; % — relative amount&amp;lt;/p&amp;gt;</t>
  </si>
  <si>
    <t>not detected</t>
  </si>
  <si>
    <t>&amp;lt;b&amp;gt;Detected&amp;lt;/b&amp;gt;</t>
  </si>
  <si>
    <t>Reference</t>
  </si>
  <si>
    <t>DETECTED</t>
  </si>
  <si>
    <t>PATHOGENS</t>
  </si>
  <si>
    <t xml:space="preserve">Microbiota status - </t>
  </si>
  <si>
    <t xml:space="preserve">: normal microbiota decreased to </t>
  </si>
  <si>
    <t xml:space="preserve">, relative amount of </t>
  </si>
  <si>
    <t>anaerobes are present</t>
  </si>
  <si>
    <t>anaerobes and aerobes are present</t>
  </si>
  <si>
    <t>aerobes are present</t>
  </si>
  <si>
    <t>&amp;lt;b&amp;gt;moderate &amp;lt;/b&amp;gt;</t>
  </si>
  <si>
    <t>&amp;lt;b&amp;gt;pronounced &amp;lt;/b&amp;gt;</t>
  </si>
  <si>
    <t>&amp;lt;b&amp;gt;aerobic dysbiosis&amp;lt;/b&amp;gt;</t>
  </si>
  <si>
    <t>&amp;lt;b&amp;gt;anaerobic dysbiosis&amp;lt;/b&amp;gt;</t>
  </si>
  <si>
    <t>&amp;lt;b&amp;gt;mycoplasma-associated dysbiosis&amp;lt;/b&amp;gt;</t>
  </si>
  <si>
    <t>&amp;lt;b&amp;gt;mixed dysbiosis&amp;lt;/b&amp;gt;</t>
  </si>
  <si>
    <t>, increased relative amount of aerobes.</t>
  </si>
  <si>
    <t>, increased relative amount of anaerobes.</t>
  </si>
  <si>
    <t>, increased relative amount of mycoplasmas.</t>
  </si>
  <si>
    <t>. Predominance of obligate pathogens (STIs).</t>
  </si>
  <si>
    <t>, increased relative amount of opportunistic microorganisms.</t>
  </si>
  <si>
    <t>&amp;lt;b&amp;gt;Detected:&amp;lt;/b&amp;gt;</t>
  </si>
  <si>
    <t>No pathogens detected.</t>
  </si>
  <si>
    <t>&amp;lt;b&amp;gt;NB!&amp;lt;/b&amp;gt; Human genomic DNA not detected in the sample! Analysis cannot be performed.</t>
  </si>
  <si>
    <t>&amp;lt;b&amp;gt;NB!&amp;lt;/b&amp;gt; Сontrol parameters below threshold. Microbiota status analysis cannot be performed.</t>
  </si>
  <si>
    <t>&amp;lt;b&amp;gt;NB!&amp;lt;/b&amp;gt; Low human genomic DNA.  Microbiota may contain microorganisms not detectable by the test.</t>
  </si>
  <si>
    <t>&amp;lt;b&amp;gt;NB!&amp;lt;/b&amp;gt; Low total bacterial load and human genomic DNA. The accuracy of bacterial amount calculation may be low. Microbiota may contain microorganisms not detectable by the test.</t>
  </si>
  <si>
    <t>&amp;lt;b&amp;gt;NB!&amp;lt;/b&amp;gt; Low total bacterial load and human genomic DNA.</t>
  </si>
  <si>
    <t>&amp;lt;b&amp;gt;NB!&amp;lt;/b&amp;gt;  Low total bacterial load and human genomic DNA. The accuracy of bacterial amount calculation may be low.</t>
  </si>
  <si>
    <t>&amp;lt;b&amp;gt;NB!&amp;lt;/b&amp;gt; Low human genomic DNA.</t>
  </si>
  <si>
    <t>&amp;lt;b&amp;gt;NB!&amp;lt;/b&amp;gt; Low total bacterial load. Microbiota status analysis cannot be performed.</t>
  </si>
  <si>
    <t>&amp;lt;b&amp;gt;NB!&amp;lt;/b&amp;gt; Low total bacterial load. Microbiota may contain microorganisms not detectable by the test.The accuracy of bacterial amount calculation may be low.</t>
  </si>
  <si>
    <t>&amp;lt;b&amp;gt;NB!&amp;lt;/b&amp;gt; Low total bacterial load.</t>
  </si>
  <si>
    <t>&amp;lt;b&amp;gt;NB!&amp;lt;/b&amp;gt; Low total bacterial load. The accuracy of bacterial amount calculation may be low.</t>
  </si>
  <si>
    <t xml:space="preserve">&amp;lt;b&amp;gt;NB!&amp;lt;/b&amp;gt; Low total bacterial load. Microbiota may contain microorganisms not detectable by the test. The accuracy of bacterial amount calculation may be low. </t>
  </si>
  <si>
    <t xml:space="preserve">&amp;lt;b&amp;gt;NB!&amp;lt;/b&amp;gt; Microbiota may contain microorganisms not detectable by the test. </t>
  </si>
  <si>
    <t>&amp;lt;b&amp;gt;eubiosis&amp;lt;/b&amp;gt;</t>
  </si>
  <si>
    <t>: predominance of normal microbiota</t>
  </si>
  <si>
    <t>&amp;lt;b&amp;gt;pronounced dysbiosis of unknown etiology&amp;lt;/b&amp;gt;</t>
  </si>
  <si>
    <t xml:space="preserve">Normal microbiota within the reference range, </t>
  </si>
  <si>
    <t xml:space="preserve">Normal microbiota decreased to </t>
  </si>
  <si>
    <t xml:space="preserve">%, </t>
  </si>
  <si>
    <t>&amp;lt;b&amp;gt;NB!&amp;lt;/b&amp;gt; Low total bacterial load and human genomic DNA; microbiota assessment is limited to specific indicators.</t>
  </si>
  <si>
    <t>&amp;lt;b&amp;gt;NB!&amp;lt;/b&amp;gt; Low total bacterial load; microbiota assessment is limited to specific indicators.</t>
  </si>
  <si>
    <t>Relative amount of &amp;lt;i&amp;gt;Lactobacillus&amp;lt;/i&amp;gt;&amp;amp;nbsp;spp. within the reference range:</t>
  </si>
  <si>
    <t>Relative amount of &amp;lt;i&amp;gt;Lactobacillus&amp;lt;/i&amp;gt;&amp;amp;nbsp;spp. decreased</t>
  </si>
  <si>
    <t>Increased relative amount of anaerobes</t>
  </si>
  <si>
    <t>Increased relative amount of aerobes</t>
  </si>
  <si>
    <t xml:space="preserve"> and anaerobes</t>
  </si>
  <si>
    <t>&amp;lt;b&amp;gt;Notes&amp;lt;/b&amp;gt;&amp;lt;br&amp;gt;● Relative amount is calculated as proportions of the total quantity.&amp;lt;br&amp;gt;Result accuracy may be affected by the method’s margin of error and by the presence of microorganisms&amp;lt;br&amp;gt; not detectable by this test.</t>
  </si>
  <si>
    <t>&amp;lt;br&amp;gt;● HPV 31–68 — combined detection without genotyping among HPV 31/33/35/39/51/52/56/58/59/66/68.&amp;lt;br&amp;gt;● Reference for &amp;lt;i&amp;gt;Streptococcus agalactiae&amp;lt;/i&amp;gt;:&amp;lt;br&amp;gt;gestational age ≥37–38 weeks — negative result; all other cases — &amp;amp;lt;4.0 lg GE/mL.&amp;lt;br&amp;gt;&amp;lt;br&amp;gt;&amp;lt;b&amp;gt;Types of infographics on the report form&amp;lt;/b&amp;gt;&amp;lt;br&amp;gt;- colored indicator icon — overall assessment of microbiota status (eubiosis, moderate or pronounced dysbiosis);&amp;lt;br&amp;gt;- stacked bar chart — display of the proportions of normal microbiota, aerobes, anaerobes, and mycoplasmas within the microbiota;&amp;lt;br&amp;gt;- bar chart — individual microorganism profile.&amp;lt;br&amp;gt;&amp;lt;br&amp;gt;&amp;lt;b&amp;gt;Terminology and symbols &amp;lt;/b&amp;gt;&amp;lt;br&amp;gt; Aerobes — facultative-anaerobic opportunists.&amp;amp;nbsp;Anaerobes — obligate anaerobic opportunists.&amp;amp;nbsp;Mycoplasmas — opportunistic genital mycoplasmas.&amp;amp;nbsp;&amp;lt;br&amp;gt; Dash (—) = negative result;  “/” = combined detection.</t>
  </si>
  <si>
    <t>&amp;lt;b&amp;gt;Terminology and symbols&amp;lt;/b&amp;gt;&amp;lt;br&amp;gt; Aerobes — facultative-anaerobic opportunists. Anaerobes — obligate anaerobic opportunists. Mycoplasmas — opportunistic genital mycoplasmas.&amp;lt;br&amp;gt; Dash (—) = negative result;  “/” = combined detection.</t>
  </si>
  <si>
    <t>&amp;lt;b&amp;gt;Terminology and symbols&amp;lt;/b&amp;gt;&amp;lt;br&amp;gt; Anaerobes — obligate anaerobic opportunists.Mycoplasmas — opportunistic genital mycoplasmas.&amp;lt;br&amp;gt; Dash (—) = negative result;  “/” = combined detection.</t>
  </si>
  <si>
    <t>*Species representatives:</t>
  </si>
  <si>
    <t>Species proportion, %</t>
  </si>
  <si>
    <t xml:space="preserve">Test result interpretation  </t>
  </si>
  <si>
    <t>Mycoplasmas</t>
  </si>
  <si>
    <t>Lower threshold, 80%</t>
  </si>
  <si>
    <t>Normal microbiota</t>
  </si>
  <si>
    <t>Pathogens</t>
  </si>
  <si>
    <t>More details on</t>
  </si>
  <si>
    <t>Female microflora analysis</t>
  </si>
  <si>
    <t>Patient name:</t>
  </si>
  <si>
    <t>Date of birth:</t>
  </si>
  <si>
    <t>Sampling date:</t>
  </si>
  <si>
    <t>Sample type:</t>
  </si>
  <si>
    <t>Sample ID:</t>
  </si>
  <si>
    <t>Physician:</t>
  </si>
  <si>
    <t>Сontrol parameters</t>
  </si>
  <si>
    <t>Total bacterial load</t>
  </si>
  <si>
    <t>Result</t>
  </si>
  <si>
    <t>Microbiota status</t>
  </si>
  <si>
    <t>NORMAL MICROBIOTA, total proportion</t>
  </si>
  <si>
    <t>AEROBES, total proportion</t>
  </si>
  <si>
    <t>ANAEROBES, total proportion</t>
  </si>
  <si>
    <t>MYCOPLASMAS, total proportion</t>
  </si>
  <si>
    <t>Yeast fungi</t>
  </si>
  <si>
    <t>Group B streptococcus</t>
  </si>
  <si>
    <t>OBLIGATE PATHOGENS (STI)</t>
  </si>
  <si>
    <t>HERPESVIRUSES</t>
  </si>
  <si>
    <t>HUMAN PAPILLOMAVIRUSES (HPV)</t>
  </si>
  <si>
    <t>IMPORTANT!&amp;lt;br&amp;gt; The test result interpretation is generated if the samplе type (V, C) is specified.&amp;lt;br&amp;gt; Result interpretation is carried out exclusively by physician!</t>
  </si>
  <si>
    <t>Test result&amp;lt;br&amp;gt;in interactive&amp;lt;br&amp;gt;format on</t>
  </si>
  <si>
    <t>Date of report</t>
  </si>
  <si>
    <t>Performed by</t>
  </si>
  <si>
    <t>Laboratory director</t>
  </si>
  <si>
    <t>Signature</t>
  </si>
  <si>
    <t>Obligate pathogens (STI)</t>
  </si>
  <si>
    <t>HPV 31/33/35/39/51/52/56/58/59/66/68 without genotyping</t>
  </si>
  <si>
    <t>Medical record:</t>
  </si>
  <si>
    <t>Referring organization:</t>
  </si>
  <si>
    <t>Full name</t>
  </si>
  <si>
    <t>&amp;lt;b&amp;gt;NB!&amp;lt;/b&amp;gt; Toplam bakteriyel yük azalmış.</t>
  </si>
  <si>
    <t>Total microorganisms detected</t>
  </si>
  <si>
    <t>Toplam Saptanmış Mikroorganizma</t>
  </si>
  <si>
    <t>NORMAL MİKROBİYOTA + fırsatçıl patojen mikroorganizmalar</t>
  </si>
  <si>
    <t>Nota bak</t>
  </si>
  <si>
    <t>Karışık disbiyoz</t>
  </si>
  <si>
    <t>Göeceli</t>
  </si>
  <si>
    <t>&amp;lt;b&amp;gt;NB!&amp;lt;/b&amp;gt; Biyomateryal kontrol göstergeleri eşiğin altında; mikrobiyota durumunun değerlendirilmesi yapılamaz.</t>
  </si>
  <si>
    <t>&amp;lt;b&amp;gt;NB!&amp;lt;/b&amp;gt; Toplam bakteriyel yük azalmış.Bu testle saptanamayan mikroorganizmaların bulunması muhtemel. Kantifikasyon doğruluğu düşük olabilir.</t>
  </si>
  <si>
    <t xml:space="preserve">&amp;lt;b&amp;gt;NB!&amp;lt;/b&amp;gt; Toplam bakteriyel yük azalmış. Bu testle saptanamayan mikroorganizmalar bulunabilir. Kantifikasyon doğruluğu düşük olabilir. </t>
  </si>
  <si>
    <t>&amp;lt;b&amp;gt;etiolojisi bilinmeyen şiddetli disbiyoz&amp;lt;/b&amp;gt;</t>
  </si>
  <si>
    <t xml:space="preserve">Normal mikrobiyota sınırlar içinde, </t>
  </si>
  <si>
    <t>göreceli miktar</t>
  </si>
  <si>
    <t>&amp;lt;i&amp;gt;Lactobacillus&amp;lt;/i&amp;gt;&amp;amp;nbsp;spp. göreceli miktarı referans aralığında:</t>
  </si>
  <si>
    <t xml:space="preserve"> göreceli miktarı artmış.</t>
  </si>
  <si>
    <t>&amp;lt;i&amp;gt;Lactobacillus&amp;lt;/i&amp;gt;&amp;amp;nbsp;spp. göreceli miktarı azalmış</t>
  </si>
  <si>
    <t>Anaerobların göreceli miktarı artmış</t>
  </si>
  <si>
    <t>Aerobların göreceli miktarı artmış</t>
  </si>
  <si>
    <t>&amp;lt;b&amp;gt;Notlar&amp;lt;/b&amp;gt;&amp;lt;br&amp;gt;● Göreceli miktarı, toplam miktarın oranı olarak hesaplanır.&amp;lt;br&amp;gt;Yöntemin hata payı ve mikroorganizmaların varlığı, sonuç doğruluğunu etkileyebilir.</t>
  </si>
  <si>
    <t>&amp;lt;br&amp;gt;● HPV 31–68 — HPV31/33/35/39/51/52/56/58/59/66/68 arasında genotip ayrımı yapmadan toplu  saptama.&amp;lt;br&amp;gt;&amp;lt;i&amp;gt;● Streptococcus agalactiae&amp;lt;/i&amp;gt; için referans:&amp;lt;br&amp;gt;gebelik yaşı ≥37–38 hafta — negatif sonuç; diğer tüm durumlarda — &amp;amp;lt;4,0 lg GE/mL.&amp;lt;br&amp;gt;&amp;lt;br&amp;gt;&amp;lt;b&amp;gt;Rapor formundaki infografik türleri &amp;lt;/b&amp;gt;&amp;lt;br&amp;gt;- renkli gösterge — mikrobiyota durumunun genel değerlendirmesi (öbiyoz, orta veya şiddetli disbiyoz);&amp;lt;br&amp;gt;- yığılmış çubuk grafik— mikrobiyotadaki normobiyota, aeroblar, anaeroblar ve mikoplazmaların oranlarının gösterimi;&amp;lt;br&amp;gt;- sütun grafiği — mikroorganizmaların bireysel profili.&amp;lt;br&amp;gt;&amp;lt;br&amp;gt;&amp;lt;b&amp;gt;Terminoloji ve tanımlamalar&amp;lt;/b&amp;gt;&amp;lt;br&amp;gt;Aeroblar — fakültatif anaerob, potansiyel patojen mikroorganizmalar.&amp;amp;nbsp;Anaeroblar — zorunlu anaerob, potansiyel patojen mikroorganizmalar.&amp;amp;nbsp;Mikoplazmalar — potansiyel patojen genital mikoplazmalar.&amp;amp;nbsp;&amp;lt;br&amp;gt;Kısa çizgi (—) negatif sonucu belirtir; “/” ile gösterim birleşik tespiti ifade eder.</t>
  </si>
  <si>
    <t>&amp;lt;b&amp;gt;Terminoloji ve tanımlamalar&amp;lt;/b&amp;gt;&amp;lt;br&amp;gt;Aeroblar — fakültatif anaeroblar; anaeroblar — zorunlu anaeroblar. Mikoplazmalar — potansiyel patojen genital mikoplazmalar.&amp;lt;br&amp;gt;Kısa çizgi (—) negatif sonucu belirtir; “/” ile gösterim birleşik tespiti ifade eder.</t>
  </si>
  <si>
    <t>&amp;lt;b&amp;gt;Terminoloji ve tanımlamalar&amp;lt;/b&amp;gt;&amp;lt;br&amp;gt;Anaeroblar — zorunlu anaerob, potansiyel patojen mikroorganizmalar. Mikoplazmalar — potansiyel patojen genital mikoplazmalar.&amp;lt;br&amp;gt;Kısa çizgi (—) negatif sonucu belirtir; “/” ile gösterim birleşik tespiti ifade eder.</t>
  </si>
  <si>
    <t>Test sonuç değerlendirmesi</t>
  </si>
  <si>
    <t>Alt sınırı: %80</t>
  </si>
  <si>
    <t>Örnek türü</t>
  </si>
  <si>
    <t>NORMOBİYOTA, toplam oran</t>
  </si>
  <si>
    <t>AEROBLAR, toplam oran</t>
  </si>
  <si>
    <t>ANAEROBLAR, toplam oran</t>
  </si>
  <si>
    <t>MİKOPLAZMALAR, toplam oran</t>
  </si>
  <si>
    <t>ÖNEMLİ!&amp;lt;br&amp;gt;Test sonuç değerlendirmesi yalnızca örnek türü belirtildiğinde (V, C) oluşturulur.&amp;lt;br&amp;gt;Sonucun yorumu yalnızca tedavi eden hekim tarafından yapılır!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</si>
</sst>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04"/>
      <scheme val="minor"/>
    </font>
    <font>
      <sz val="11"/>
      <name val="Calibri"/>
      <family val="2"/>
      <charset val="204"/>
      <scheme val="minor"/>
    </font>
    <font>
      <b/>
      <sz val="11"/>
      <color theme="1"/>
      <name val="Calibri"/>
      <family val="2"/>
      <charset val="204"/>
      <scheme val="minor"/>
    </font>
    <font>
      <b/>
      <sz val="11"/>
      <name val="Calibri"/>
      <family val="2"/>
      <charset val="204"/>
      <scheme val="minor"/>
    </font>
    <font>
      <sz val="11"/>
      <color theme="5" tint="-0.249977111117893"/>
      <name val="Calibri"/>
      <family val="2"/>
      <scheme val="minor"/>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0">
    <border>
      <left/>
      <right/>
      <top/>
      <bottom/>
      <diagonal/>
    </border>
    <border>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medium">
        <color indexed="64"/>
      </right>
      <top/>
      <bottom/>
      <diagonal/>
    </border>
  </borders>
  <cellStyleXfs count="1">
    <xf numFmtId="0" fontId="0" fillId="0" borderId="0"/>
  </cellStyleXfs>
  <cellXfs count="26">
    <xf numFmtId="0" fontId="0" fillId="0" borderId="0" xfId="0"/>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1" fillId="0" borderId="0" xfId="0" applyFont="1" applyAlignment="1">
      <alignment vertical="center" wrapText="1"/>
    </xf>
    <xf numFmtId="0" fontId="0" fillId="2" borderId="0" xfId="0" applyFill="1" applyAlignment="1">
      <alignment vertical="center" wrapText="1"/>
    </xf>
    <xf numFmtId="0" fontId="3" fillId="0" borderId="4" xfId="0" applyFont="1" applyBorder="1" applyAlignment="1">
      <alignment horizontal="center" vertical="center" wrapText="1"/>
    </xf>
    <xf numFmtId="0" fontId="0" fillId="0" borderId="5" xfId="0" applyBorder="1" applyAlignment="1">
      <alignment vertical="center" wrapText="1"/>
    </xf>
    <xf numFmtId="0" fontId="3" fillId="0" borderId="6" xfId="0" applyFont="1" applyBorder="1" applyAlignment="1">
      <alignment horizontal="center" vertical="center" wrapText="1"/>
    </xf>
    <xf numFmtId="0" fontId="3" fillId="0" borderId="5" xfId="0" applyFont="1" applyBorder="1" applyAlignment="1">
      <alignment horizontal="center" vertical="center" wrapText="1"/>
    </xf>
    <xf numFmtId="0" fontId="0" fillId="0" borderId="2" xfId="0" applyBorder="1"/>
    <xf numFmtId="0" fontId="1" fillId="0" borderId="3" xfId="0" applyFont="1" applyBorder="1" applyAlignment="1">
      <alignment vertical="center" wrapText="1"/>
    </xf>
    <xf numFmtId="0" fontId="1" fillId="0" borderId="2" xfId="0" applyFont="1" applyBorder="1" applyAlignment="1">
      <alignment vertical="center" wrapText="1"/>
    </xf>
    <xf numFmtId="0" fontId="4" fillId="0" borderId="0" xfId="0" applyFont="1" applyAlignment="1">
      <alignment vertical="center" wrapText="1"/>
    </xf>
    <xf numFmtId="0" fontId="1" fillId="0" borderId="0" xfId="0" applyFont="1"/>
    <xf numFmtId="0" fontId="0" fillId="0" borderId="1" xfId="0" applyBorder="1" applyAlignment="1">
      <alignment vertical="center"/>
    </xf>
    <xf numFmtId="0" fontId="1" fillId="0" borderId="1" xfId="0" applyFont="1" applyBorder="1" applyAlignment="1">
      <alignment vertical="center" wrapText="1"/>
    </xf>
    <xf numFmtId="0" fontId="0" fillId="0" borderId="7" xfId="0" applyBorder="1"/>
    <xf numFmtId="0" fontId="0" fillId="0" borderId="1" xfId="0" applyBorder="1"/>
    <xf numFmtId="0" fontId="1" fillId="0" borderId="8" xfId="0" applyFont="1" applyBorder="1" applyAlignment="1">
      <alignment vertical="center" wrapText="1"/>
    </xf>
    <xf numFmtId="0" fontId="2" fillId="0" borderId="0" xfId="0" applyFont="1" applyAlignment="1">
      <alignment horizontal="center" vertical="center"/>
    </xf>
    <xf numFmtId="0" fontId="1" fillId="0" borderId="9" xfId="0" applyFont="1" applyBorder="1" applyAlignment="1">
      <alignment vertical="center" wrapText="1"/>
    </xf>
    <xf numFmtId="0" fontId="0" fillId="0" borderId="2" xfId="0" applyBorder="1" applyAlignment="1">
      <alignment wrapText="1"/>
    </xf>
    <xf numFmtId="0" fontId="0" fillId="3" borderId="0" xfId="0" applyFill="1" applyAlignment="1">
      <alignment vertical="center" wrapText="1"/>
    </xf>
    <xf numFmtId="0" fontId="1" fillId="3" borderId="0" xfId="0" applyFont="1" applyFill="1" applyAlignment="1">
      <alignment vertical="center" wrapText="1"/>
    </xf>
  </cellXfs>
  <cellStyles count="1">
    <cellStyle name="Normal" xfId="0" builtinId="0"/>
  </cellStyles>
  <dxfs count="2">
    <dxf>
      <font>
        <color rgb="FF00B050"/>
      </font>
      <fill>
        <patternFill>
          <bgColor rgb="FF00B050"/>
        </patternFill>
      </fill>
    </dxf>
    <dxf>
      <font>
        <color theme="5" tint="0.39994506668294322"/>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18034-52C8-44CD-8DCD-898BAFCF42FD}">
  <dimension ref="A1:I159"/>
  <sheetViews>
    <sheetView tabSelected="1" topLeftCell="A107" zoomScale="110" zoomScaleNormal="110" workbookViewId="0">
      <selection activeCell="D163" sqref="D163"/>
    </sheetView>
  </sheetViews>
  <sheetFormatPr baseColWidth="10" defaultColWidth="8.83203125" defaultRowHeight="15" x14ac:dyDescent="0.2"/>
  <cols>
    <col min="1" max="1" width="8.83203125" style="1"/>
    <col min="2" max="2" width="65.33203125" style="2" customWidth="1"/>
    <col min="3" max="3" width="20.1640625" customWidth="1"/>
    <col min="4" max="4" width="61.83203125" customWidth="1"/>
    <col min="6" max="6" width="7.5" customWidth="1"/>
    <col min="7" max="7" width="53.6640625" customWidth="1"/>
    <col min="8" max="8" width="45.83203125" customWidth="1"/>
    <col min="9" max="9" width="33.5" customWidth="1"/>
  </cols>
  <sheetData>
    <row r="1" spans="1:9" ht="32" x14ac:dyDescent="0.2">
      <c r="A1" s="7" t="s">
        <v>290</v>
      </c>
      <c r="B1" s="21" t="s">
        <v>306</v>
      </c>
      <c r="C1" s="9" t="s">
        <v>289</v>
      </c>
      <c r="D1" s="10" t="s">
        <v>307</v>
      </c>
      <c r="E1" s="7" t="s">
        <v>308</v>
      </c>
      <c r="F1" s="8"/>
      <c r="G1" s="10" t="s">
        <v>309</v>
      </c>
      <c r="H1" s="9" t="s">
        <v>289</v>
      </c>
      <c r="I1" s="2"/>
    </row>
    <row r="2" spans="1:9" ht="16" x14ac:dyDescent="0.2">
      <c r="A2" s="1" t="s">
        <v>288</v>
      </c>
      <c r="B2" s="1" t="s">
        <v>287</v>
      </c>
      <c r="D2" s="22" t="s">
        <v>121</v>
      </c>
      <c r="E2" s="12" t="b">
        <f>B2=G2</f>
        <v>0</v>
      </c>
      <c r="F2" s="5" t="s">
        <v>288</v>
      </c>
      <c r="G2" s="2"/>
      <c r="H2" s="4"/>
      <c r="I2" s="2"/>
    </row>
    <row r="3" spans="1:9" ht="16" x14ac:dyDescent="0.2">
      <c r="A3" s="1" t="s">
        <v>286</v>
      </c>
      <c r="B3" s="1" t="s">
        <v>291</v>
      </c>
      <c r="C3" s="11"/>
      <c r="D3" s="5" t="s">
        <v>310</v>
      </c>
      <c r="E3" s="12" t="b">
        <f t="shared" ref="E3:E66" si="0">B3=G3</f>
        <v>0</v>
      </c>
      <c r="F3" s="5" t="s">
        <v>286</v>
      </c>
      <c r="G3" s="5"/>
      <c r="H3" s="4"/>
      <c r="I3" s="2"/>
    </row>
    <row r="4" spans="1:9" ht="16" x14ac:dyDescent="0.2">
      <c r="A4" s="1" t="s">
        <v>285</v>
      </c>
      <c r="B4" s="2" t="s">
        <v>284</v>
      </c>
      <c r="C4" s="11"/>
      <c r="D4" s="5" t="s">
        <v>311</v>
      </c>
      <c r="E4" s="12" t="b">
        <f t="shared" si="0"/>
        <v>0</v>
      </c>
      <c r="F4" s="5" t="s">
        <v>285</v>
      </c>
      <c r="G4" s="1"/>
      <c r="H4" s="4"/>
      <c r="I4" s="2"/>
    </row>
    <row r="5" spans="1:9" ht="16" x14ac:dyDescent="0.2">
      <c r="A5" s="1" t="s">
        <v>283</v>
      </c>
      <c r="B5" s="2" t="s">
        <v>282</v>
      </c>
      <c r="C5" s="11"/>
      <c r="D5" s="5" t="s">
        <v>312</v>
      </c>
      <c r="E5" s="12" t="b">
        <f t="shared" si="0"/>
        <v>0</v>
      </c>
      <c r="F5" s="2"/>
      <c r="G5" s="5"/>
      <c r="H5" s="4"/>
      <c r="I5" s="2"/>
    </row>
    <row r="6" spans="1:9" ht="16" x14ac:dyDescent="0.2">
      <c r="A6" s="1" t="s">
        <v>281</v>
      </c>
      <c r="B6" s="2" t="s">
        <v>280</v>
      </c>
      <c r="C6" s="11"/>
      <c r="D6" s="5" t="s">
        <v>313</v>
      </c>
      <c r="E6" s="12" t="b">
        <f t="shared" si="0"/>
        <v>0</v>
      </c>
      <c r="F6" s="5" t="s">
        <v>281</v>
      </c>
      <c r="G6" s="5"/>
      <c r="H6" s="4"/>
      <c r="I6" s="2"/>
    </row>
    <row r="7" spans="1:9" ht="90" customHeight="1" x14ac:dyDescent="0.2">
      <c r="A7" s="1" t="s">
        <v>279</v>
      </c>
      <c r="B7" s="2" t="s">
        <v>292</v>
      </c>
      <c r="C7" s="11"/>
      <c r="D7" s="5" t="s">
        <v>314</v>
      </c>
      <c r="E7" s="12" t="b">
        <f t="shared" si="0"/>
        <v>0</v>
      </c>
      <c r="F7" s="5" t="s">
        <v>279</v>
      </c>
      <c r="G7" s="5"/>
      <c r="H7" s="13"/>
      <c r="I7" s="2"/>
    </row>
    <row r="8" spans="1:9" ht="32" x14ac:dyDescent="0.2">
      <c r="A8" s="1" t="s">
        <v>278</v>
      </c>
      <c r="B8" s="2" t="s">
        <v>277</v>
      </c>
      <c r="C8" s="11"/>
      <c r="D8" s="5" t="s">
        <v>315</v>
      </c>
      <c r="E8" s="12" t="b">
        <f t="shared" si="0"/>
        <v>0</v>
      </c>
      <c r="F8" s="5" t="s">
        <v>278</v>
      </c>
      <c r="G8" s="2"/>
      <c r="H8" s="4"/>
      <c r="I8" s="2"/>
    </row>
    <row r="9" spans="1:9" ht="16" x14ac:dyDescent="0.2">
      <c r="A9" s="1" t="s">
        <v>276</v>
      </c>
      <c r="B9" s="2" t="s">
        <v>275</v>
      </c>
      <c r="C9" s="11"/>
      <c r="D9" s="5" t="s">
        <v>316</v>
      </c>
      <c r="E9" s="12" t="b">
        <f t="shared" si="0"/>
        <v>0</v>
      </c>
      <c r="F9" s="2"/>
      <c r="G9" s="5"/>
      <c r="H9" s="4"/>
      <c r="I9" s="2"/>
    </row>
    <row r="10" spans="1:9" ht="16" x14ac:dyDescent="0.2">
      <c r="A10" s="1" t="s">
        <v>274</v>
      </c>
      <c r="B10" s="2" t="s">
        <v>273</v>
      </c>
      <c r="C10" s="11"/>
      <c r="D10" s="5" t="s">
        <v>317</v>
      </c>
      <c r="E10" s="12" t="b">
        <f t="shared" si="0"/>
        <v>0</v>
      </c>
      <c r="F10" s="5" t="s">
        <v>274</v>
      </c>
      <c r="G10" s="2"/>
      <c r="H10" s="4"/>
      <c r="I10" s="2"/>
    </row>
    <row r="11" spans="1:9" ht="16" x14ac:dyDescent="0.2">
      <c r="A11" s="1" t="s">
        <v>272</v>
      </c>
      <c r="B11" s="2" t="s">
        <v>271</v>
      </c>
      <c r="C11" s="11"/>
      <c r="D11" s="5" t="s">
        <v>318</v>
      </c>
      <c r="E11" s="12" t="b">
        <f t="shared" si="0"/>
        <v>0</v>
      </c>
      <c r="F11" s="5" t="s">
        <v>272</v>
      </c>
      <c r="G11" s="5"/>
      <c r="H11" s="4"/>
      <c r="I11" s="2"/>
    </row>
    <row r="12" spans="1:9" ht="16" x14ac:dyDescent="0.2">
      <c r="A12" s="1" t="s">
        <v>270</v>
      </c>
      <c r="B12" s="2" t="s">
        <v>269</v>
      </c>
      <c r="C12" s="11"/>
      <c r="D12" s="5" t="s">
        <v>319</v>
      </c>
      <c r="E12" s="12" t="b">
        <f t="shared" si="0"/>
        <v>0</v>
      </c>
      <c r="F12" s="5" t="s">
        <v>270</v>
      </c>
      <c r="G12" s="2"/>
      <c r="H12" s="4"/>
      <c r="I12" s="2"/>
    </row>
    <row r="13" spans="1:9" ht="16" x14ac:dyDescent="0.2">
      <c r="A13" s="1" t="s">
        <v>268</v>
      </c>
      <c r="B13" s="2" t="s">
        <v>267</v>
      </c>
      <c r="C13" s="11"/>
      <c r="D13" s="5" t="s">
        <v>320</v>
      </c>
      <c r="E13" s="12" t="b">
        <f t="shared" si="0"/>
        <v>0</v>
      </c>
      <c r="F13" s="5" t="s">
        <v>268</v>
      </c>
      <c r="G13" s="2"/>
      <c r="H13" s="4"/>
      <c r="I13" s="2"/>
    </row>
    <row r="14" spans="1:9" ht="16" x14ac:dyDescent="0.2">
      <c r="A14" s="1" t="s">
        <v>266</v>
      </c>
      <c r="B14" s="2" t="s">
        <v>265</v>
      </c>
      <c r="C14" s="11"/>
      <c r="D14" s="5" t="s">
        <v>265</v>
      </c>
      <c r="E14" s="12" t="b">
        <f t="shared" si="0"/>
        <v>0</v>
      </c>
      <c r="F14" s="5" t="s">
        <v>266</v>
      </c>
      <c r="G14" s="2"/>
      <c r="H14" s="4"/>
      <c r="I14" s="2"/>
    </row>
    <row r="15" spans="1:9" ht="16" x14ac:dyDescent="0.2">
      <c r="A15" s="1" t="s">
        <v>264</v>
      </c>
      <c r="B15" s="2" t="s">
        <v>263</v>
      </c>
      <c r="C15" s="11"/>
      <c r="D15" s="5" t="s">
        <v>321</v>
      </c>
      <c r="E15" s="12" t="b">
        <f t="shared" si="0"/>
        <v>0</v>
      </c>
      <c r="F15" s="5" t="s">
        <v>264</v>
      </c>
      <c r="G15" s="2"/>
      <c r="H15" s="4"/>
      <c r="I15" s="2"/>
    </row>
    <row r="16" spans="1:9" ht="16" x14ac:dyDescent="0.2">
      <c r="A16" s="1" t="s">
        <v>262</v>
      </c>
      <c r="B16" s="2" t="s">
        <v>261</v>
      </c>
      <c r="C16" s="11"/>
      <c r="D16" s="5" t="s">
        <v>261</v>
      </c>
      <c r="E16" s="12" t="b">
        <f t="shared" si="0"/>
        <v>0</v>
      </c>
      <c r="F16" s="5" t="s">
        <v>262</v>
      </c>
      <c r="G16" s="2"/>
      <c r="H16" s="4"/>
      <c r="I16" s="2"/>
    </row>
    <row r="17" spans="1:9" ht="16" x14ac:dyDescent="0.2">
      <c r="A17" s="1" t="s">
        <v>260</v>
      </c>
      <c r="B17" s="24" t="s">
        <v>259</v>
      </c>
      <c r="C17" s="11"/>
      <c r="D17" s="5" t="s">
        <v>322</v>
      </c>
      <c r="E17" s="12" t="b">
        <f t="shared" si="0"/>
        <v>0</v>
      </c>
      <c r="F17" s="5" t="s">
        <v>260</v>
      </c>
      <c r="G17" s="5" t="s">
        <v>447</v>
      </c>
      <c r="H17" s="4"/>
      <c r="I17" s="2"/>
    </row>
    <row r="18" spans="1:9" ht="16" x14ac:dyDescent="0.2">
      <c r="A18" s="1" t="s">
        <v>258</v>
      </c>
      <c r="B18" s="24" t="s">
        <v>257</v>
      </c>
      <c r="C18" s="11"/>
      <c r="D18" s="5" t="s">
        <v>323</v>
      </c>
      <c r="E18" s="12" t="b">
        <f t="shared" si="0"/>
        <v>0</v>
      </c>
      <c r="F18" s="5" t="s">
        <v>258</v>
      </c>
      <c r="G18" s="2"/>
      <c r="H18" s="4"/>
      <c r="I18" s="2"/>
    </row>
    <row r="19" spans="1:9" ht="16" x14ac:dyDescent="0.2">
      <c r="A19" s="1" t="s">
        <v>256</v>
      </c>
      <c r="B19" s="2" t="s">
        <v>255</v>
      </c>
      <c r="C19" s="11"/>
      <c r="D19" s="5" t="s">
        <v>255</v>
      </c>
      <c r="E19" s="12" t="b">
        <f t="shared" si="0"/>
        <v>0</v>
      </c>
      <c r="F19" s="5" t="s">
        <v>256</v>
      </c>
      <c r="G19" s="5"/>
      <c r="H19" s="4"/>
      <c r="I19" s="2"/>
    </row>
    <row r="20" spans="1:9" ht="16" x14ac:dyDescent="0.2">
      <c r="A20" s="1" t="s">
        <v>254</v>
      </c>
      <c r="B20" s="2" t="s">
        <v>253</v>
      </c>
      <c r="C20" s="11"/>
      <c r="D20" s="5" t="s">
        <v>324</v>
      </c>
      <c r="E20" s="12" t="b">
        <f t="shared" si="0"/>
        <v>0</v>
      </c>
      <c r="F20" s="5" t="s">
        <v>254</v>
      </c>
      <c r="G20" s="2"/>
      <c r="H20" s="4"/>
      <c r="I20" s="2"/>
    </row>
    <row r="21" spans="1:9" ht="16" x14ac:dyDescent="0.2">
      <c r="A21" s="1" t="s">
        <v>252</v>
      </c>
      <c r="B21" s="2" t="s">
        <v>251</v>
      </c>
      <c r="C21" s="11"/>
      <c r="D21" s="5" t="s">
        <v>325</v>
      </c>
      <c r="E21" s="12" t="b">
        <f t="shared" si="0"/>
        <v>0</v>
      </c>
      <c r="F21" s="5" t="s">
        <v>252</v>
      </c>
      <c r="G21" s="2"/>
      <c r="H21" s="4"/>
      <c r="I21" s="2"/>
    </row>
    <row r="22" spans="1:9" ht="16" x14ac:dyDescent="0.2">
      <c r="A22" s="1" t="s">
        <v>250</v>
      </c>
      <c r="B22" s="2" t="s">
        <v>249</v>
      </c>
      <c r="C22" s="11"/>
      <c r="D22" s="5" t="s">
        <v>326</v>
      </c>
      <c r="E22" s="12" t="b">
        <f t="shared" si="0"/>
        <v>0</v>
      </c>
      <c r="F22" s="5" t="s">
        <v>250</v>
      </c>
      <c r="G22" s="2"/>
      <c r="H22" s="4"/>
      <c r="I22" s="2"/>
    </row>
    <row r="23" spans="1:9" ht="16" x14ac:dyDescent="0.2">
      <c r="A23" s="1" t="s">
        <v>248</v>
      </c>
      <c r="B23" s="2" t="s">
        <v>64</v>
      </c>
      <c r="C23" s="11"/>
      <c r="D23" s="5" t="s">
        <v>327</v>
      </c>
      <c r="E23" s="12" t="b">
        <f t="shared" si="0"/>
        <v>0</v>
      </c>
      <c r="F23" s="5" t="s">
        <v>248</v>
      </c>
      <c r="G23" s="5"/>
      <c r="H23" s="4"/>
      <c r="I23" s="2"/>
    </row>
    <row r="24" spans="1:9" ht="16" x14ac:dyDescent="0.2">
      <c r="A24" s="1" t="s">
        <v>247</v>
      </c>
      <c r="B24" s="24" t="s">
        <v>293</v>
      </c>
      <c r="C24" s="11" t="s">
        <v>418</v>
      </c>
      <c r="D24" s="5" t="s">
        <v>328</v>
      </c>
      <c r="E24" s="12" t="b">
        <f t="shared" si="0"/>
        <v>0</v>
      </c>
      <c r="F24" s="5" t="s">
        <v>247</v>
      </c>
      <c r="G24" s="24" t="s">
        <v>62</v>
      </c>
      <c r="H24" s="4"/>
      <c r="I24" s="2"/>
    </row>
    <row r="25" spans="1:9" ht="32" x14ac:dyDescent="0.2">
      <c r="A25" s="1" t="s">
        <v>246</v>
      </c>
      <c r="B25" s="24" t="s">
        <v>245</v>
      </c>
      <c r="C25" s="23" t="s">
        <v>442</v>
      </c>
      <c r="D25" s="5" t="s">
        <v>329</v>
      </c>
      <c r="E25" s="12" t="b">
        <f t="shared" si="0"/>
        <v>0</v>
      </c>
      <c r="F25" s="5" t="s">
        <v>246</v>
      </c>
      <c r="G25" s="5" t="s">
        <v>443</v>
      </c>
      <c r="H25" s="13"/>
      <c r="I25" s="2"/>
    </row>
    <row r="26" spans="1:9" ht="16" x14ac:dyDescent="0.2">
      <c r="A26" s="1" t="s">
        <v>244</v>
      </c>
      <c r="B26" s="2" t="s">
        <v>294</v>
      </c>
      <c r="C26" s="11"/>
      <c r="D26" s="5" t="s">
        <v>330</v>
      </c>
      <c r="E26" s="12" t="b">
        <f t="shared" si="0"/>
        <v>0</v>
      </c>
      <c r="F26" s="5" t="s">
        <v>244</v>
      </c>
      <c r="G26" s="2"/>
      <c r="H26" s="4"/>
      <c r="I26" s="2"/>
    </row>
    <row r="27" spans="1:9" ht="16" x14ac:dyDescent="0.2">
      <c r="A27" s="1" t="s">
        <v>243</v>
      </c>
      <c r="B27" s="2" t="s">
        <v>242</v>
      </c>
      <c r="C27" s="11"/>
      <c r="D27" s="5" t="s">
        <v>331</v>
      </c>
      <c r="E27" s="12" t="b">
        <f t="shared" si="0"/>
        <v>0</v>
      </c>
      <c r="F27" s="5" t="s">
        <v>243</v>
      </c>
      <c r="G27" s="2"/>
      <c r="H27" s="4"/>
      <c r="I27" s="2"/>
    </row>
    <row r="28" spans="1:9" ht="16" x14ac:dyDescent="0.2">
      <c r="A28" s="1" t="s">
        <v>241</v>
      </c>
      <c r="B28" s="2" t="s">
        <v>295</v>
      </c>
      <c r="C28" s="11"/>
      <c r="D28" s="5" t="s">
        <v>295</v>
      </c>
      <c r="E28" s="12" t="b">
        <f t="shared" si="0"/>
        <v>0</v>
      </c>
      <c r="F28" s="5" t="s">
        <v>241</v>
      </c>
      <c r="G28" s="5"/>
      <c r="H28" s="4"/>
      <c r="I28" s="2"/>
    </row>
    <row r="29" spans="1:9" ht="16" x14ac:dyDescent="0.2">
      <c r="A29" s="1" t="s">
        <v>240</v>
      </c>
      <c r="B29" s="2" t="s">
        <v>239</v>
      </c>
      <c r="C29" s="11"/>
      <c r="D29" s="5" t="s">
        <v>332</v>
      </c>
      <c r="E29" s="12" t="b">
        <f t="shared" si="0"/>
        <v>0</v>
      </c>
      <c r="F29" s="5" t="s">
        <v>240</v>
      </c>
      <c r="G29" s="2"/>
      <c r="H29" s="4"/>
      <c r="I29" s="2"/>
    </row>
    <row r="30" spans="1:9" ht="16" x14ac:dyDescent="0.2">
      <c r="A30" s="1" t="s">
        <v>238</v>
      </c>
      <c r="B30" s="2" t="s">
        <v>237</v>
      </c>
      <c r="C30" s="11"/>
      <c r="D30" s="5" t="s">
        <v>333</v>
      </c>
      <c r="E30" s="12" t="b">
        <f t="shared" si="0"/>
        <v>0</v>
      </c>
      <c r="F30" s="5" t="s">
        <v>238</v>
      </c>
      <c r="G30" s="2"/>
      <c r="H30" s="4"/>
      <c r="I30" s="2"/>
    </row>
    <row r="31" spans="1:9" ht="16" x14ac:dyDescent="0.2">
      <c r="A31" s="1" t="s">
        <v>236</v>
      </c>
      <c r="B31" s="2" t="s">
        <v>235</v>
      </c>
      <c r="C31" s="11"/>
      <c r="D31" s="5" t="s">
        <v>334</v>
      </c>
      <c r="E31" s="12" t="b">
        <f t="shared" si="0"/>
        <v>0</v>
      </c>
      <c r="F31" s="5" t="s">
        <v>236</v>
      </c>
      <c r="G31" s="2"/>
      <c r="H31" s="4"/>
      <c r="I31" s="2"/>
    </row>
    <row r="32" spans="1:9" ht="16" x14ac:dyDescent="0.2">
      <c r="A32" s="1" t="s">
        <v>234</v>
      </c>
      <c r="B32" s="24" t="s">
        <v>233</v>
      </c>
      <c r="C32" s="11"/>
      <c r="D32" s="5" t="s">
        <v>335</v>
      </c>
      <c r="E32" s="12" t="b">
        <f t="shared" si="0"/>
        <v>0</v>
      </c>
      <c r="F32" s="5" t="s">
        <v>234</v>
      </c>
      <c r="G32" s="2"/>
      <c r="H32" s="4"/>
      <c r="I32" s="2"/>
    </row>
    <row r="33" spans="1:9" ht="16" x14ac:dyDescent="0.2">
      <c r="A33" s="1" t="s">
        <v>232</v>
      </c>
      <c r="B33" s="2" t="s">
        <v>231</v>
      </c>
      <c r="C33" s="11"/>
      <c r="D33" s="5" t="s">
        <v>336</v>
      </c>
      <c r="E33" s="12" t="b">
        <f t="shared" si="0"/>
        <v>0</v>
      </c>
      <c r="F33" s="5" t="s">
        <v>232</v>
      </c>
      <c r="G33" s="2"/>
      <c r="H33" s="4"/>
      <c r="I33" s="2"/>
    </row>
    <row r="34" spans="1:9" ht="16" x14ac:dyDescent="0.2">
      <c r="A34" s="1" t="s">
        <v>230</v>
      </c>
      <c r="B34" s="2" t="s">
        <v>229</v>
      </c>
      <c r="C34" s="11"/>
      <c r="D34" s="5" t="s">
        <v>337</v>
      </c>
      <c r="E34" s="12" t="b">
        <f t="shared" si="0"/>
        <v>0</v>
      </c>
      <c r="F34" s="5" t="s">
        <v>230</v>
      </c>
      <c r="G34" s="2"/>
      <c r="H34" s="4"/>
      <c r="I34" s="14"/>
    </row>
    <row r="35" spans="1:9" ht="16" x14ac:dyDescent="0.2">
      <c r="A35" s="1" t="s">
        <v>228</v>
      </c>
      <c r="B35" s="2" t="s">
        <v>4</v>
      </c>
      <c r="C35" s="11"/>
      <c r="D35" s="5" t="s">
        <v>338</v>
      </c>
      <c r="E35" s="12" t="b">
        <f t="shared" si="0"/>
        <v>0</v>
      </c>
      <c r="F35" s="5" t="s">
        <v>228</v>
      </c>
      <c r="G35" s="2"/>
      <c r="H35" s="4"/>
      <c r="I35" s="2"/>
    </row>
    <row r="36" spans="1:9" ht="16" x14ac:dyDescent="0.2">
      <c r="A36" s="1" t="s">
        <v>227</v>
      </c>
      <c r="B36" s="2" t="s">
        <v>2</v>
      </c>
      <c r="C36" s="11"/>
      <c r="D36" s="5" t="s">
        <v>339</v>
      </c>
      <c r="E36" s="12" t="b">
        <f t="shared" si="0"/>
        <v>0</v>
      </c>
      <c r="F36" s="5" t="s">
        <v>227</v>
      </c>
      <c r="G36" s="2"/>
      <c r="H36" s="4"/>
      <c r="I36" s="2"/>
    </row>
    <row r="37" spans="1:9" ht="16" x14ac:dyDescent="0.2">
      <c r="A37" s="1" t="s">
        <v>226</v>
      </c>
      <c r="B37" s="2" t="s">
        <v>225</v>
      </c>
      <c r="C37" s="11"/>
      <c r="D37" s="5" t="s">
        <v>340</v>
      </c>
      <c r="E37" s="12" t="b">
        <f t="shared" si="0"/>
        <v>0</v>
      </c>
      <c r="F37" s="5" t="s">
        <v>226</v>
      </c>
      <c r="G37" s="2"/>
      <c r="H37" s="4"/>
      <c r="I37" s="2"/>
    </row>
    <row r="38" spans="1:9" ht="16" x14ac:dyDescent="0.2">
      <c r="A38" s="1" t="s">
        <v>224</v>
      </c>
      <c r="B38" s="2" t="s">
        <v>223</v>
      </c>
      <c r="C38" s="11"/>
      <c r="D38" s="5" t="s">
        <v>341</v>
      </c>
      <c r="E38" s="12" t="b">
        <f t="shared" si="0"/>
        <v>0</v>
      </c>
      <c r="F38" s="5" t="s">
        <v>224</v>
      </c>
      <c r="G38" s="2"/>
      <c r="H38" s="4"/>
      <c r="I38" s="2"/>
    </row>
    <row r="39" spans="1:9" ht="16" x14ac:dyDescent="0.2">
      <c r="A39" s="1" t="s">
        <v>222</v>
      </c>
      <c r="B39" s="2" t="s">
        <v>296</v>
      </c>
      <c r="C39" s="11"/>
      <c r="D39" s="5" t="s">
        <v>342</v>
      </c>
      <c r="E39" s="12" t="b">
        <f t="shared" si="0"/>
        <v>0</v>
      </c>
      <c r="F39" s="5" t="s">
        <v>222</v>
      </c>
      <c r="G39" s="5"/>
      <c r="H39" s="4"/>
      <c r="I39" s="2"/>
    </row>
    <row r="40" spans="1:9" ht="16" x14ac:dyDescent="0.2">
      <c r="A40" s="1" t="s">
        <v>221</v>
      </c>
      <c r="B40" s="2" t="s">
        <v>297</v>
      </c>
      <c r="C40" s="11" t="s">
        <v>343</v>
      </c>
      <c r="D40" s="5" t="s">
        <v>344</v>
      </c>
      <c r="E40" s="12" t="b">
        <f t="shared" si="0"/>
        <v>0</v>
      </c>
      <c r="F40" s="5" t="s">
        <v>221</v>
      </c>
      <c r="G40" s="2" t="s">
        <v>444</v>
      </c>
      <c r="H40" s="4"/>
      <c r="I40" s="2"/>
    </row>
    <row r="41" spans="1:9" ht="16" x14ac:dyDescent="0.2">
      <c r="A41" s="1" t="s">
        <v>220</v>
      </c>
      <c r="B41" s="24" t="s">
        <v>219</v>
      </c>
      <c r="C41" s="11" t="s">
        <v>343</v>
      </c>
      <c r="D41" s="5" t="s">
        <v>345</v>
      </c>
      <c r="E41" s="12" t="b">
        <f t="shared" si="0"/>
        <v>0</v>
      </c>
      <c r="F41" s="5" t="s">
        <v>220</v>
      </c>
      <c r="G41" s="5"/>
      <c r="H41" s="4"/>
      <c r="I41" s="2"/>
    </row>
    <row r="42" spans="1:9" ht="16" x14ac:dyDescent="0.2">
      <c r="A42" s="1" t="s">
        <v>218</v>
      </c>
      <c r="B42" s="2" t="s">
        <v>217</v>
      </c>
      <c r="C42" s="11"/>
      <c r="D42" s="5" t="s">
        <v>346</v>
      </c>
      <c r="E42" s="12" t="b">
        <f t="shared" si="0"/>
        <v>0</v>
      </c>
      <c r="F42" s="5" t="s">
        <v>218</v>
      </c>
      <c r="G42" s="2" t="s">
        <v>445</v>
      </c>
      <c r="H42" s="4"/>
      <c r="I42" s="2"/>
    </row>
    <row r="43" spans="1:9" ht="32" x14ac:dyDescent="0.2">
      <c r="A43" s="1" t="s">
        <v>216</v>
      </c>
      <c r="B43" s="24" t="s">
        <v>215</v>
      </c>
      <c r="C43" s="11"/>
      <c r="D43" s="5" t="s">
        <v>347</v>
      </c>
      <c r="E43" s="12" t="b">
        <f t="shared" si="0"/>
        <v>0</v>
      </c>
      <c r="F43" s="5" t="s">
        <v>216</v>
      </c>
      <c r="G43" s="5"/>
      <c r="H43" s="4"/>
      <c r="I43" s="2"/>
    </row>
    <row r="44" spans="1:9" ht="16" x14ac:dyDescent="0.2">
      <c r="A44" s="1" t="s">
        <v>214</v>
      </c>
      <c r="B44" s="2" t="s">
        <v>58</v>
      </c>
      <c r="C44" s="11"/>
      <c r="D44" s="5" t="s">
        <v>348</v>
      </c>
      <c r="E44" s="12" t="b">
        <f t="shared" si="0"/>
        <v>0</v>
      </c>
      <c r="F44" s="5" t="s">
        <v>214</v>
      </c>
      <c r="G44" s="5"/>
      <c r="H44" s="4"/>
      <c r="I44" s="2"/>
    </row>
    <row r="45" spans="1:9" ht="16" x14ac:dyDescent="0.2">
      <c r="A45" s="1" t="s">
        <v>213</v>
      </c>
      <c r="B45" s="2" t="s">
        <v>212</v>
      </c>
      <c r="C45" s="11"/>
      <c r="D45" s="5" t="s">
        <v>212</v>
      </c>
      <c r="E45" s="12" t="b">
        <f t="shared" si="0"/>
        <v>0</v>
      </c>
      <c r="F45" s="5" t="s">
        <v>213</v>
      </c>
      <c r="G45" s="2"/>
      <c r="H45" s="4"/>
      <c r="I45" s="2"/>
    </row>
    <row r="46" spans="1:9" ht="16" x14ac:dyDescent="0.2">
      <c r="A46" s="1" t="s">
        <v>211</v>
      </c>
      <c r="B46" s="2" t="s">
        <v>210</v>
      </c>
      <c r="C46" s="11"/>
      <c r="D46" s="5" t="s">
        <v>349</v>
      </c>
      <c r="E46" s="12" t="b">
        <f t="shared" si="0"/>
        <v>0</v>
      </c>
      <c r="F46" s="5" t="s">
        <v>211</v>
      </c>
      <c r="G46" s="2"/>
      <c r="H46" s="4"/>
      <c r="I46" s="2"/>
    </row>
    <row r="47" spans="1:9" ht="16" x14ac:dyDescent="0.2">
      <c r="A47" s="1" t="s">
        <v>209</v>
      </c>
      <c r="B47" s="2" t="s">
        <v>52</v>
      </c>
      <c r="C47" s="11"/>
      <c r="D47" t="s">
        <v>350</v>
      </c>
      <c r="E47" s="12" t="b">
        <f t="shared" si="0"/>
        <v>0</v>
      </c>
      <c r="F47" s="2" t="s">
        <v>209</v>
      </c>
      <c r="G47" s="2"/>
      <c r="H47" s="11"/>
      <c r="I47" s="2"/>
    </row>
    <row r="48" spans="1:9" ht="16" x14ac:dyDescent="0.2">
      <c r="A48" s="1" t="s">
        <v>208</v>
      </c>
      <c r="B48" s="2" t="s">
        <v>60</v>
      </c>
      <c r="C48" s="11"/>
      <c r="D48" s="2" t="s">
        <v>351</v>
      </c>
      <c r="E48" s="12" t="b">
        <f t="shared" si="0"/>
        <v>0</v>
      </c>
      <c r="F48" s="2" t="s">
        <v>208</v>
      </c>
      <c r="G48" s="5"/>
      <c r="H48" s="4"/>
      <c r="I48" s="2"/>
    </row>
    <row r="49" spans="1:9" ht="16" x14ac:dyDescent="0.2">
      <c r="A49" s="1" t="s">
        <v>207</v>
      </c>
      <c r="B49" s="2" t="s">
        <v>58</v>
      </c>
      <c r="C49" s="11"/>
      <c r="D49" s="2" t="s">
        <v>348</v>
      </c>
      <c r="E49" s="12" t="b">
        <f t="shared" si="0"/>
        <v>0</v>
      </c>
      <c r="F49" s="2" t="s">
        <v>207</v>
      </c>
      <c r="G49" s="5"/>
      <c r="H49" s="4"/>
      <c r="I49" s="2"/>
    </row>
    <row r="50" spans="1:9" ht="16" x14ac:dyDescent="0.2">
      <c r="A50" s="1" t="s">
        <v>206</v>
      </c>
      <c r="B50" s="2" t="s">
        <v>36</v>
      </c>
      <c r="C50" s="11"/>
      <c r="D50" s="2" t="s">
        <v>352</v>
      </c>
      <c r="E50" s="12" t="b">
        <f t="shared" si="0"/>
        <v>0</v>
      </c>
      <c r="F50" s="2" t="s">
        <v>206</v>
      </c>
      <c r="G50" s="2"/>
      <c r="H50" s="4"/>
      <c r="I50" s="2"/>
    </row>
    <row r="51" spans="1:9" ht="28.25" customHeight="1" x14ac:dyDescent="0.2">
      <c r="A51" s="1" t="s">
        <v>205</v>
      </c>
      <c r="B51" s="2" t="s">
        <v>204</v>
      </c>
      <c r="C51" s="4"/>
      <c r="D51" s="5" t="s">
        <v>353</v>
      </c>
      <c r="E51" s="12" t="b">
        <f t="shared" si="0"/>
        <v>0</v>
      </c>
      <c r="F51" s="5" t="s">
        <v>205</v>
      </c>
      <c r="G51" s="2"/>
      <c r="H51" s="4"/>
      <c r="I51" s="2"/>
    </row>
    <row r="52" spans="1:9" ht="16" x14ac:dyDescent="0.2">
      <c r="A52" s="1" t="s">
        <v>203</v>
      </c>
      <c r="B52" s="2" t="s">
        <v>202</v>
      </c>
      <c r="C52" s="11"/>
      <c r="D52" s="5" t="s">
        <v>354</v>
      </c>
      <c r="E52" s="12" t="b">
        <f t="shared" si="0"/>
        <v>0</v>
      </c>
      <c r="F52" s="5" t="s">
        <v>203</v>
      </c>
      <c r="G52" s="2"/>
      <c r="H52" s="4"/>
      <c r="I52" s="2"/>
    </row>
    <row r="53" spans="1:9" ht="16" x14ac:dyDescent="0.2">
      <c r="A53" s="1" t="s">
        <v>201</v>
      </c>
      <c r="B53" s="2" t="s">
        <v>200</v>
      </c>
      <c r="C53" s="11"/>
      <c r="D53" s="5"/>
      <c r="E53" s="12" t="b">
        <f>B53=G53</f>
        <v>0</v>
      </c>
      <c r="F53" s="5" t="s">
        <v>201</v>
      </c>
      <c r="G53" s="2"/>
      <c r="H53" s="4"/>
      <c r="I53" s="2"/>
    </row>
    <row r="54" spans="1:9" ht="16" x14ac:dyDescent="0.2">
      <c r="A54" s="1" t="s">
        <v>199</v>
      </c>
      <c r="B54" s="24" t="s">
        <v>198</v>
      </c>
      <c r="C54" s="11"/>
      <c r="D54" s="5" t="s">
        <v>355</v>
      </c>
      <c r="E54" s="12" t="b">
        <f t="shared" si="0"/>
        <v>0</v>
      </c>
      <c r="F54" s="5" t="s">
        <v>199</v>
      </c>
      <c r="G54" s="5" t="s">
        <v>453</v>
      </c>
      <c r="H54" s="4"/>
      <c r="I54" s="2"/>
    </row>
    <row r="55" spans="1:9" ht="16" x14ac:dyDescent="0.2">
      <c r="A55" s="1" t="s">
        <v>197</v>
      </c>
      <c r="B55" s="2" t="s">
        <v>196</v>
      </c>
      <c r="C55" s="11"/>
      <c r="D55" s="5" t="s">
        <v>196</v>
      </c>
      <c r="E55" s="12" t="b">
        <f t="shared" si="0"/>
        <v>0</v>
      </c>
      <c r="F55" s="5" t="s">
        <v>197</v>
      </c>
      <c r="G55" s="2"/>
      <c r="H55" s="4"/>
      <c r="I55" s="2"/>
    </row>
    <row r="56" spans="1:9" ht="16" x14ac:dyDescent="0.2">
      <c r="A56" s="1" t="s">
        <v>195</v>
      </c>
      <c r="B56" s="2" t="s">
        <v>194</v>
      </c>
      <c r="C56" s="11"/>
      <c r="D56" s="5" t="s">
        <v>194</v>
      </c>
      <c r="E56" s="12" t="b">
        <f t="shared" si="0"/>
        <v>0</v>
      </c>
      <c r="F56" s="5" t="s">
        <v>195</v>
      </c>
      <c r="G56" s="2"/>
      <c r="H56" s="4"/>
      <c r="I56" s="2"/>
    </row>
    <row r="57" spans="1:9" ht="16" x14ac:dyDescent="0.2">
      <c r="A57" s="1" t="s">
        <v>193</v>
      </c>
      <c r="B57" s="2" t="s">
        <v>192</v>
      </c>
      <c r="C57" s="11"/>
      <c r="D57" s="5" t="s">
        <v>192</v>
      </c>
      <c r="E57" s="12" t="b">
        <f t="shared" si="0"/>
        <v>0</v>
      </c>
      <c r="F57" s="5" t="s">
        <v>193</v>
      </c>
      <c r="G57" s="2"/>
      <c r="H57" s="4"/>
      <c r="I57" s="2"/>
    </row>
    <row r="58" spans="1:9" ht="16" x14ac:dyDescent="0.2">
      <c r="A58" s="1" t="s">
        <v>191</v>
      </c>
      <c r="B58" s="2" t="s">
        <v>190</v>
      </c>
      <c r="C58" s="11"/>
      <c r="D58" s="5" t="s">
        <v>190</v>
      </c>
      <c r="E58" s="12" t="b">
        <f t="shared" si="0"/>
        <v>0</v>
      </c>
      <c r="F58" s="5" t="s">
        <v>191</v>
      </c>
      <c r="G58" s="2"/>
      <c r="H58" s="4"/>
      <c r="I58" s="2"/>
    </row>
    <row r="59" spans="1:9" ht="16" x14ac:dyDescent="0.2">
      <c r="A59" s="1" t="s">
        <v>189</v>
      </c>
      <c r="B59" s="2" t="s">
        <v>188</v>
      </c>
      <c r="C59" s="11"/>
      <c r="D59" s="5" t="s">
        <v>356</v>
      </c>
      <c r="E59" s="12" t="b">
        <f t="shared" si="0"/>
        <v>0</v>
      </c>
      <c r="F59" s="5" t="s">
        <v>189</v>
      </c>
      <c r="G59" s="5"/>
      <c r="H59" s="4"/>
      <c r="I59" s="2"/>
    </row>
    <row r="60" spans="1:9" ht="16" x14ac:dyDescent="0.2">
      <c r="A60" s="1" t="s">
        <v>187</v>
      </c>
      <c r="B60" s="2" t="s">
        <v>186</v>
      </c>
      <c r="C60" s="11"/>
      <c r="D60" s="5" t="s">
        <v>357</v>
      </c>
      <c r="E60" s="12" t="b">
        <f t="shared" si="0"/>
        <v>0</v>
      </c>
      <c r="F60" s="5" t="s">
        <v>187</v>
      </c>
      <c r="G60" s="5"/>
      <c r="H60" s="4"/>
      <c r="I60" s="2"/>
    </row>
    <row r="61" spans="1:9" ht="16" x14ac:dyDescent="0.2">
      <c r="A61" s="1" t="s">
        <v>185</v>
      </c>
      <c r="B61" s="2" t="s">
        <v>184</v>
      </c>
      <c r="C61" s="11"/>
      <c r="D61" s="5" t="s">
        <v>358</v>
      </c>
      <c r="E61" s="12" t="b">
        <f t="shared" si="0"/>
        <v>0</v>
      </c>
      <c r="F61" s="5" t="s">
        <v>185</v>
      </c>
      <c r="G61" s="5"/>
      <c r="H61" s="4"/>
      <c r="I61" s="2"/>
    </row>
    <row r="62" spans="1:9" ht="16" x14ac:dyDescent="0.2">
      <c r="A62" s="1" t="s">
        <v>183</v>
      </c>
      <c r="B62" s="1" t="s">
        <v>182</v>
      </c>
      <c r="C62" s="11"/>
      <c r="D62" s="5" t="s">
        <v>359</v>
      </c>
      <c r="E62" s="12" t="b">
        <f t="shared" si="0"/>
        <v>0</v>
      </c>
      <c r="F62" s="5" t="s">
        <v>183</v>
      </c>
      <c r="G62" s="5"/>
      <c r="H62" s="13"/>
      <c r="I62" s="2"/>
    </row>
    <row r="63" spans="1:9" ht="16" x14ac:dyDescent="0.2">
      <c r="A63" s="1" t="s">
        <v>181</v>
      </c>
      <c r="B63" s="5" t="s">
        <v>180</v>
      </c>
      <c r="C63" s="11"/>
      <c r="D63" s="5" t="s">
        <v>360</v>
      </c>
      <c r="E63" s="12" t="b">
        <f t="shared" si="0"/>
        <v>0</v>
      </c>
      <c r="F63" s="5" t="s">
        <v>181</v>
      </c>
      <c r="G63" s="5"/>
      <c r="H63" s="13"/>
      <c r="I63" s="2"/>
    </row>
    <row r="64" spans="1:9" ht="16" x14ac:dyDescent="0.2">
      <c r="A64" s="1" t="s">
        <v>179</v>
      </c>
      <c r="B64" s="2" t="s">
        <v>178</v>
      </c>
      <c r="C64" s="11"/>
      <c r="D64" s="5" t="s">
        <v>361</v>
      </c>
      <c r="E64" s="12" t="b">
        <f t="shared" si="0"/>
        <v>0</v>
      </c>
      <c r="F64" s="5" t="s">
        <v>179</v>
      </c>
      <c r="G64" s="5"/>
      <c r="H64" s="13"/>
      <c r="I64" s="2"/>
    </row>
    <row r="65" spans="1:9" ht="16" x14ac:dyDescent="0.2">
      <c r="A65" s="1" t="s">
        <v>177</v>
      </c>
      <c r="B65" s="2" t="s">
        <v>176</v>
      </c>
      <c r="C65" s="11"/>
      <c r="D65" s="5" t="s">
        <v>362</v>
      </c>
      <c r="E65" s="12" t="b">
        <f t="shared" si="0"/>
        <v>0</v>
      </c>
      <c r="F65" s="5" t="s">
        <v>177</v>
      </c>
      <c r="G65" s="5"/>
      <c r="H65" s="13"/>
      <c r="I65" s="2"/>
    </row>
    <row r="66" spans="1:9" ht="16" x14ac:dyDescent="0.2">
      <c r="A66" s="1" t="s">
        <v>175</v>
      </c>
      <c r="B66" s="2" t="s">
        <v>174</v>
      </c>
      <c r="C66" s="11"/>
      <c r="D66" s="5" t="s">
        <v>363</v>
      </c>
      <c r="E66" s="12" t="b">
        <f t="shared" si="0"/>
        <v>0</v>
      </c>
      <c r="F66" s="5" t="s">
        <v>175</v>
      </c>
      <c r="G66" s="5"/>
      <c r="H66" s="13"/>
      <c r="I66" s="2"/>
    </row>
    <row r="67" spans="1:9" ht="16" x14ac:dyDescent="0.2">
      <c r="A67" s="1" t="s">
        <v>173</v>
      </c>
      <c r="B67" s="24" t="s">
        <v>172</v>
      </c>
      <c r="C67" s="11"/>
      <c r="D67" s="5" t="s">
        <v>364</v>
      </c>
      <c r="E67" s="12" t="b">
        <f t="shared" ref="E67:E130" si="1">B67=G67</f>
        <v>0</v>
      </c>
      <c r="F67" s="5" t="s">
        <v>173</v>
      </c>
      <c r="G67" s="5" t="s">
        <v>446</v>
      </c>
      <c r="H67" s="13"/>
      <c r="I67" s="2"/>
    </row>
    <row r="68" spans="1:9" ht="16" x14ac:dyDescent="0.2">
      <c r="A68" s="1" t="s">
        <v>171</v>
      </c>
      <c r="C68" s="11"/>
      <c r="D68" s="5"/>
      <c r="E68" s="12" t="b">
        <f t="shared" si="1"/>
        <v>1</v>
      </c>
      <c r="F68" s="5" t="s">
        <v>171</v>
      </c>
      <c r="G68" s="5"/>
      <c r="H68" s="4"/>
      <c r="I68" s="2"/>
    </row>
    <row r="69" spans="1:9" ht="16" x14ac:dyDescent="0.2">
      <c r="A69" s="1" t="s">
        <v>170</v>
      </c>
      <c r="C69" s="11"/>
      <c r="D69" s="5"/>
      <c r="E69" s="12" t="b">
        <f t="shared" si="1"/>
        <v>1</v>
      </c>
      <c r="F69" s="5" t="s">
        <v>170</v>
      </c>
      <c r="G69" s="5"/>
      <c r="H69" s="4"/>
      <c r="I69" s="2"/>
    </row>
    <row r="70" spans="1:9" ht="16" x14ac:dyDescent="0.2">
      <c r="A70" s="1" t="s">
        <v>169</v>
      </c>
      <c r="B70" s="2" t="s">
        <v>168</v>
      </c>
      <c r="C70" s="11"/>
      <c r="D70" s="5" t="s">
        <v>365</v>
      </c>
      <c r="E70" s="12" t="b">
        <f t="shared" si="1"/>
        <v>0</v>
      </c>
      <c r="F70" s="5" t="s">
        <v>169</v>
      </c>
      <c r="G70" s="5"/>
      <c r="H70" s="4"/>
      <c r="I70" s="2"/>
    </row>
    <row r="71" spans="1:9" ht="16" x14ac:dyDescent="0.2">
      <c r="A71" s="1" t="s">
        <v>167</v>
      </c>
      <c r="B71" s="2" t="s">
        <v>166</v>
      </c>
      <c r="C71" s="11"/>
      <c r="D71" s="5" t="s">
        <v>366</v>
      </c>
      <c r="E71" s="12" t="b">
        <f t="shared" si="1"/>
        <v>0</v>
      </c>
      <c r="F71" s="5" t="s">
        <v>167</v>
      </c>
      <c r="G71" s="5"/>
      <c r="H71" s="4"/>
      <c r="I71" s="2"/>
    </row>
    <row r="72" spans="1:9" ht="16" x14ac:dyDescent="0.2">
      <c r="A72" s="1" t="s">
        <v>165</v>
      </c>
      <c r="B72" s="2" t="s">
        <v>164</v>
      </c>
      <c r="C72" s="11"/>
      <c r="D72" s="5" t="s">
        <v>367</v>
      </c>
      <c r="E72" s="12" t="b">
        <f t="shared" si="1"/>
        <v>0</v>
      </c>
      <c r="F72" s="5" t="s">
        <v>165</v>
      </c>
      <c r="G72" s="5"/>
      <c r="H72" s="4"/>
      <c r="I72" s="2"/>
    </row>
    <row r="73" spans="1:9" ht="16" x14ac:dyDescent="0.2">
      <c r="A73" s="1" t="s">
        <v>163</v>
      </c>
      <c r="B73" s="2" t="s">
        <v>162</v>
      </c>
      <c r="C73" s="11"/>
      <c r="D73" s="5" t="s">
        <v>368</v>
      </c>
      <c r="E73" s="12" t="b">
        <f t="shared" si="1"/>
        <v>0</v>
      </c>
      <c r="F73" s="5" t="s">
        <v>163</v>
      </c>
      <c r="G73" s="5"/>
      <c r="H73" s="4"/>
      <c r="I73" s="2"/>
    </row>
    <row r="74" spans="1:9" ht="16" x14ac:dyDescent="0.2">
      <c r="A74" s="1" t="s">
        <v>161</v>
      </c>
      <c r="B74" s="2" t="s">
        <v>160</v>
      </c>
      <c r="C74" s="11"/>
      <c r="D74" s="5" t="s">
        <v>369</v>
      </c>
      <c r="E74" s="12" t="b">
        <f t="shared" si="1"/>
        <v>0</v>
      </c>
      <c r="F74" s="5" t="s">
        <v>161</v>
      </c>
      <c r="G74" s="5"/>
      <c r="H74" s="4"/>
      <c r="I74" s="2"/>
    </row>
    <row r="75" spans="1:9" ht="16" x14ac:dyDescent="0.2">
      <c r="A75" s="1" t="s">
        <v>159</v>
      </c>
      <c r="B75" s="2" t="s">
        <v>158</v>
      </c>
      <c r="C75" s="11"/>
      <c r="D75" s="5" t="s">
        <v>370</v>
      </c>
      <c r="E75" s="12" t="b">
        <f t="shared" si="1"/>
        <v>0</v>
      </c>
      <c r="F75" s="5" t="s">
        <v>159</v>
      </c>
      <c r="G75" s="5"/>
      <c r="H75" s="4"/>
      <c r="I75" s="2"/>
    </row>
    <row r="76" spans="1:9" ht="16" x14ac:dyDescent="0.2">
      <c r="A76" s="1" t="s">
        <v>157</v>
      </c>
      <c r="B76" s="2" t="s">
        <v>156</v>
      </c>
      <c r="C76" s="11"/>
      <c r="D76" s="5" t="s">
        <v>371</v>
      </c>
      <c r="E76" s="12" t="b">
        <f t="shared" si="1"/>
        <v>0</v>
      </c>
      <c r="F76" s="5" t="s">
        <v>157</v>
      </c>
      <c r="G76" s="5"/>
      <c r="H76" s="4"/>
      <c r="I76" s="2"/>
    </row>
    <row r="77" spans="1:9" ht="32" x14ac:dyDescent="0.2">
      <c r="A77" s="1" t="s">
        <v>155</v>
      </c>
      <c r="B77" s="2" t="s">
        <v>298</v>
      </c>
      <c r="C77" s="11"/>
      <c r="D77" s="5" t="s">
        <v>372</v>
      </c>
      <c r="E77" s="12" t="b">
        <f t="shared" si="1"/>
        <v>0</v>
      </c>
      <c r="F77" s="5" t="s">
        <v>155</v>
      </c>
      <c r="G77" s="5"/>
      <c r="H77" s="4"/>
      <c r="I77" s="2"/>
    </row>
    <row r="78" spans="1:9" ht="32" x14ac:dyDescent="0.2">
      <c r="A78" s="1" t="s">
        <v>154</v>
      </c>
      <c r="B78" s="24" t="s">
        <v>153</v>
      </c>
      <c r="C78" s="11"/>
      <c r="D78" s="5" t="s">
        <v>373</v>
      </c>
      <c r="E78" s="12" t="b">
        <f t="shared" si="1"/>
        <v>0</v>
      </c>
      <c r="F78" s="5" t="s">
        <v>154</v>
      </c>
      <c r="G78" s="5" t="s">
        <v>448</v>
      </c>
      <c r="H78" s="4"/>
      <c r="I78" s="2"/>
    </row>
    <row r="79" spans="1:9" ht="32" x14ac:dyDescent="0.2">
      <c r="A79" s="1" t="s">
        <v>152</v>
      </c>
      <c r="B79" s="2" t="s">
        <v>299</v>
      </c>
      <c r="C79" s="11"/>
      <c r="D79" s="5" t="s">
        <v>374</v>
      </c>
      <c r="E79" s="12" t="b">
        <f t="shared" si="1"/>
        <v>0</v>
      </c>
      <c r="F79" s="5" t="s">
        <v>152</v>
      </c>
      <c r="G79" s="5"/>
      <c r="H79" s="4"/>
      <c r="I79" s="2"/>
    </row>
    <row r="80" spans="1:9" ht="48" x14ac:dyDescent="0.2">
      <c r="A80" s="1" t="s">
        <v>151</v>
      </c>
      <c r="B80" s="24" t="s">
        <v>300</v>
      </c>
      <c r="C80" s="11"/>
      <c r="D80" s="5" t="s">
        <v>375</v>
      </c>
      <c r="E80" s="12" t="b">
        <f t="shared" si="1"/>
        <v>0</v>
      </c>
      <c r="F80" s="5" t="s">
        <v>151</v>
      </c>
      <c r="G80" s="2"/>
      <c r="H80" s="13"/>
      <c r="I80" s="2"/>
    </row>
    <row r="81" spans="1:9" ht="32" x14ac:dyDescent="0.2">
      <c r="A81" s="1" t="s">
        <v>150</v>
      </c>
      <c r="B81" s="24" t="s">
        <v>301</v>
      </c>
      <c r="C81" s="11"/>
      <c r="D81" s="5" t="s">
        <v>376</v>
      </c>
      <c r="E81" s="12" t="b">
        <f t="shared" si="1"/>
        <v>0</v>
      </c>
      <c r="F81" s="5" t="s">
        <v>150</v>
      </c>
      <c r="G81" s="2"/>
      <c r="H81" s="4"/>
      <c r="I81" s="2"/>
    </row>
    <row r="82" spans="1:9" ht="32" x14ac:dyDescent="0.2">
      <c r="A82" s="1" t="s">
        <v>149</v>
      </c>
      <c r="B82" s="2" t="s">
        <v>301</v>
      </c>
      <c r="C82" s="11"/>
      <c r="D82" s="5" t="s">
        <v>377</v>
      </c>
      <c r="E82" s="12" t="b">
        <f t="shared" si="1"/>
        <v>0</v>
      </c>
      <c r="F82" s="5" t="s">
        <v>149</v>
      </c>
      <c r="G82" s="2"/>
      <c r="H82" s="4"/>
      <c r="I82" s="2"/>
    </row>
    <row r="83" spans="1:9" ht="16" x14ac:dyDescent="0.2">
      <c r="A83" s="1" t="s">
        <v>148</v>
      </c>
      <c r="B83" s="2" t="s">
        <v>302</v>
      </c>
      <c r="C83" s="11"/>
      <c r="D83" s="5" t="s">
        <v>378</v>
      </c>
      <c r="E83" s="12" t="b">
        <f t="shared" si="1"/>
        <v>0</v>
      </c>
      <c r="F83" s="5" t="s">
        <v>148</v>
      </c>
      <c r="G83" s="5"/>
      <c r="H83" s="4"/>
      <c r="I83" s="2"/>
    </row>
    <row r="84" spans="1:9" ht="32" x14ac:dyDescent="0.2">
      <c r="A84" s="1" t="s">
        <v>147</v>
      </c>
      <c r="B84" s="2" t="s">
        <v>303</v>
      </c>
      <c r="C84" s="11"/>
      <c r="D84" s="5" t="s">
        <v>379</v>
      </c>
      <c r="E84" s="12" t="b">
        <f t="shared" si="1"/>
        <v>0</v>
      </c>
      <c r="F84" s="5" t="s">
        <v>147</v>
      </c>
      <c r="G84" s="2"/>
      <c r="H84" s="4"/>
      <c r="I84" s="2"/>
    </row>
    <row r="85" spans="1:9" ht="48" x14ac:dyDescent="0.2">
      <c r="A85" s="1" t="s">
        <v>146</v>
      </c>
      <c r="B85" s="2" t="s">
        <v>145</v>
      </c>
      <c r="C85" s="11"/>
      <c r="D85" s="5" t="s">
        <v>380</v>
      </c>
      <c r="E85" s="12" t="b">
        <f t="shared" si="1"/>
        <v>0</v>
      </c>
      <c r="F85" s="5" t="s">
        <v>146</v>
      </c>
      <c r="G85" s="2" t="s">
        <v>449</v>
      </c>
      <c r="H85" s="13"/>
      <c r="I85" s="2"/>
    </row>
    <row r="86" spans="1:9" ht="16" x14ac:dyDescent="0.2">
      <c r="A86" s="1" t="s">
        <v>144</v>
      </c>
      <c r="B86" s="2" t="s">
        <v>441</v>
      </c>
      <c r="C86" s="11"/>
      <c r="D86" s="5" t="s">
        <v>381</v>
      </c>
      <c r="E86" s="12" t="b">
        <f t="shared" si="1"/>
        <v>0</v>
      </c>
      <c r="F86" s="5" t="s">
        <v>144</v>
      </c>
      <c r="G86" s="2"/>
      <c r="H86" s="4"/>
      <c r="I86" s="2"/>
    </row>
    <row r="87" spans="1:9" ht="32" x14ac:dyDescent="0.2">
      <c r="A87" s="1" t="s">
        <v>143</v>
      </c>
      <c r="B87" s="2" t="s">
        <v>142</v>
      </c>
      <c r="C87" s="11"/>
      <c r="D87" s="5" t="s">
        <v>382</v>
      </c>
      <c r="E87" s="12" t="b">
        <f t="shared" si="1"/>
        <v>0</v>
      </c>
      <c r="F87" s="5" t="s">
        <v>143</v>
      </c>
      <c r="G87" s="5"/>
      <c r="H87" s="13"/>
      <c r="I87" s="2"/>
    </row>
    <row r="88" spans="1:9" ht="48" x14ac:dyDescent="0.2">
      <c r="A88" s="1" t="s">
        <v>141</v>
      </c>
      <c r="B88" s="2" t="s">
        <v>140</v>
      </c>
      <c r="C88" s="11"/>
      <c r="D88" s="5" t="s">
        <v>383</v>
      </c>
      <c r="E88" s="12" t="b">
        <f t="shared" si="1"/>
        <v>0</v>
      </c>
      <c r="F88" s="5" t="s">
        <v>141</v>
      </c>
      <c r="G88" s="2" t="s">
        <v>450</v>
      </c>
      <c r="H88" s="13"/>
      <c r="I88" s="2"/>
    </row>
    <row r="89" spans="1:9" ht="32" x14ac:dyDescent="0.2">
      <c r="A89" s="1" t="s">
        <v>139</v>
      </c>
      <c r="B89" s="2" t="s">
        <v>138</v>
      </c>
      <c r="C89" s="11"/>
      <c r="D89" s="5" t="s">
        <v>384</v>
      </c>
      <c r="E89" s="12" t="b">
        <f t="shared" si="1"/>
        <v>0</v>
      </c>
      <c r="F89" s="5" t="s">
        <v>139</v>
      </c>
      <c r="G89" s="5"/>
      <c r="H89" s="13"/>
      <c r="I89" s="2"/>
    </row>
    <row r="90" spans="1:9" ht="16" x14ac:dyDescent="0.2">
      <c r="A90" s="1" t="s">
        <v>137</v>
      </c>
      <c r="B90" s="2" t="s">
        <v>136</v>
      </c>
      <c r="C90" s="11"/>
      <c r="D90" s="5" t="s">
        <v>385</v>
      </c>
      <c r="E90" s="12" t="b">
        <f t="shared" si="1"/>
        <v>0</v>
      </c>
      <c r="F90" s="5" t="s">
        <v>137</v>
      </c>
      <c r="G90" s="2"/>
      <c r="H90" s="4"/>
      <c r="I90" s="2"/>
    </row>
    <row r="91" spans="1:9" ht="16" x14ac:dyDescent="0.2">
      <c r="A91" s="1" t="s">
        <v>135</v>
      </c>
      <c r="B91" s="2" t="s">
        <v>134</v>
      </c>
      <c r="C91" s="11"/>
      <c r="D91" s="5" t="s">
        <v>386</v>
      </c>
      <c r="E91" s="12" t="b">
        <f t="shared" si="1"/>
        <v>0</v>
      </c>
      <c r="F91" s="5" t="s">
        <v>135</v>
      </c>
      <c r="G91" s="5"/>
      <c r="H91" s="4"/>
      <c r="I91" s="2"/>
    </row>
    <row r="92" spans="1:9" ht="16" x14ac:dyDescent="0.2">
      <c r="A92" s="1" t="s">
        <v>133</v>
      </c>
      <c r="B92" s="24" t="s">
        <v>132</v>
      </c>
      <c r="C92" s="11"/>
      <c r="D92" s="5" t="s">
        <v>387</v>
      </c>
      <c r="E92" s="12" t="b">
        <f t="shared" si="1"/>
        <v>0</v>
      </c>
      <c r="F92" s="5" t="s">
        <v>133</v>
      </c>
      <c r="G92" s="2" t="s">
        <v>451</v>
      </c>
      <c r="H92" s="13"/>
      <c r="I92" s="2"/>
    </row>
    <row r="93" spans="1:9" ht="16" x14ac:dyDescent="0.2">
      <c r="A93" s="1" t="s">
        <v>131</v>
      </c>
      <c r="B93" s="24" t="s">
        <v>130</v>
      </c>
      <c r="C93" s="11"/>
      <c r="D93" s="5" t="s">
        <v>388</v>
      </c>
      <c r="E93" s="12" t="b">
        <f t="shared" si="1"/>
        <v>0</v>
      </c>
      <c r="F93" s="5" t="s">
        <v>131</v>
      </c>
      <c r="G93" s="2" t="s">
        <v>452</v>
      </c>
      <c r="H93" s="13"/>
      <c r="I93" s="2"/>
    </row>
    <row r="94" spans="1:9" ht="16" x14ac:dyDescent="0.2">
      <c r="A94" s="1" t="s">
        <v>129</v>
      </c>
      <c r="B94" s="2" t="s">
        <v>128</v>
      </c>
      <c r="C94" s="11"/>
      <c r="D94" s="5" t="s">
        <v>389</v>
      </c>
      <c r="E94" s="12" t="b">
        <f t="shared" si="1"/>
        <v>0</v>
      </c>
      <c r="F94" s="5" t="s">
        <v>129</v>
      </c>
      <c r="G94" s="2"/>
      <c r="H94" s="13"/>
      <c r="I94" s="2"/>
    </row>
    <row r="95" spans="1:9" ht="16" x14ac:dyDescent="0.2">
      <c r="A95" s="1" t="s">
        <v>127</v>
      </c>
      <c r="B95" t="s">
        <v>126</v>
      </c>
      <c r="C95" s="11"/>
      <c r="D95" s="5" t="s">
        <v>390</v>
      </c>
      <c r="E95" s="12" t="b">
        <f t="shared" si="1"/>
        <v>0</v>
      </c>
      <c r="F95" s="5" t="s">
        <v>127</v>
      </c>
      <c r="G95" s="5"/>
      <c r="H95" s="13"/>
      <c r="I95" s="2"/>
    </row>
    <row r="96" spans="1:9" ht="32" x14ac:dyDescent="0.2">
      <c r="A96" s="1" t="s">
        <v>125</v>
      </c>
      <c r="B96" s="2" t="s">
        <v>304</v>
      </c>
      <c r="C96" s="11"/>
      <c r="D96" s="5" t="s">
        <v>391</v>
      </c>
      <c r="E96" s="12" t="b">
        <f t="shared" si="1"/>
        <v>0</v>
      </c>
      <c r="F96" s="5" t="s">
        <v>125</v>
      </c>
      <c r="G96" s="2"/>
      <c r="H96" s="13"/>
      <c r="I96" s="2"/>
    </row>
    <row r="97" spans="1:9" ht="32" x14ac:dyDescent="0.2">
      <c r="A97" s="1" t="s">
        <v>124</v>
      </c>
      <c r="B97" s="2" t="s">
        <v>123</v>
      </c>
      <c r="C97" s="11"/>
      <c r="D97" s="5" t="s">
        <v>392</v>
      </c>
      <c r="E97" s="12" t="b">
        <f t="shared" si="1"/>
        <v>0</v>
      </c>
      <c r="F97" s="5" t="s">
        <v>124</v>
      </c>
      <c r="G97" s="2"/>
      <c r="H97" s="13"/>
      <c r="I97" s="2"/>
    </row>
    <row r="98" spans="1:9" ht="16" x14ac:dyDescent="0.2">
      <c r="A98" s="1" t="s">
        <v>122</v>
      </c>
      <c r="B98" s="2" t="s">
        <v>121</v>
      </c>
      <c r="C98" s="11"/>
      <c r="D98" s="5" t="s">
        <v>121</v>
      </c>
      <c r="E98" s="12" t="b">
        <f t="shared" si="1"/>
        <v>0</v>
      </c>
      <c r="F98" s="5" t="s">
        <v>122</v>
      </c>
      <c r="G98" s="5"/>
      <c r="H98" s="4"/>
      <c r="I98" s="2"/>
    </row>
    <row r="99" spans="1:9" ht="16" x14ac:dyDescent="0.2">
      <c r="A99" s="1" t="s">
        <v>120</v>
      </c>
      <c r="B99" s="24" t="s">
        <v>119</v>
      </c>
      <c r="C99" s="11"/>
      <c r="D99" s="5" t="s">
        <v>121</v>
      </c>
      <c r="E99" s="12" t="b">
        <f t="shared" si="1"/>
        <v>0</v>
      </c>
      <c r="F99" s="5" t="s">
        <v>120</v>
      </c>
      <c r="G99" s="24" t="s">
        <v>455</v>
      </c>
      <c r="H99" s="4"/>
      <c r="I99" s="2"/>
    </row>
    <row r="100" spans="1:9" ht="32" x14ac:dyDescent="0.2">
      <c r="A100" s="1" t="s">
        <v>118</v>
      </c>
      <c r="B100" s="24" t="s">
        <v>117</v>
      </c>
      <c r="C100" s="11"/>
      <c r="D100" s="5" t="s">
        <v>393</v>
      </c>
      <c r="E100" s="12" t="b">
        <f t="shared" si="1"/>
        <v>0</v>
      </c>
      <c r="F100" s="5" t="s">
        <v>118</v>
      </c>
      <c r="G100" s="2" t="s">
        <v>454</v>
      </c>
      <c r="H100" s="13"/>
      <c r="I100" s="2"/>
    </row>
    <row r="101" spans="1:9" ht="32" x14ac:dyDescent="0.2">
      <c r="A101" s="1" t="s">
        <v>116</v>
      </c>
      <c r="B101" s="2" t="s">
        <v>115</v>
      </c>
      <c r="C101" s="11"/>
      <c r="D101" s="5" t="s">
        <v>394</v>
      </c>
      <c r="E101" s="12" t="e">
        <f>B101=#REF!</f>
        <v>#REF!</v>
      </c>
      <c r="F101" s="5" t="s">
        <v>116</v>
      </c>
      <c r="G101" s="2" t="s">
        <v>456</v>
      </c>
      <c r="H101" s="13"/>
      <c r="I101" s="2"/>
    </row>
    <row r="102" spans="1:9" ht="16" x14ac:dyDescent="0.2">
      <c r="A102" s="1" t="s">
        <v>114</v>
      </c>
      <c r="B102" s="2" t="s">
        <v>113</v>
      </c>
      <c r="C102" s="11"/>
      <c r="D102" s="5" t="s">
        <v>395</v>
      </c>
      <c r="E102" s="12" t="b">
        <f>B102=G101</f>
        <v>0</v>
      </c>
      <c r="F102" s="5" t="s">
        <v>114</v>
      </c>
      <c r="G102" s="2" t="s">
        <v>457</v>
      </c>
      <c r="H102" s="13"/>
      <c r="I102" s="2"/>
    </row>
    <row r="103" spans="1:9" ht="16" x14ac:dyDescent="0.2">
      <c r="A103" s="1" t="s">
        <v>112</v>
      </c>
      <c r="B103" s="2" t="s">
        <v>111</v>
      </c>
      <c r="C103" s="11"/>
      <c r="D103" s="5" t="s">
        <v>396</v>
      </c>
      <c r="E103" s="12" t="b">
        <f t="shared" si="1"/>
        <v>0</v>
      </c>
      <c r="F103" s="5" t="s">
        <v>112</v>
      </c>
      <c r="G103" s="2" t="s">
        <v>458</v>
      </c>
      <c r="H103" s="13"/>
      <c r="I103" s="2"/>
    </row>
    <row r="104" spans="1:9" ht="16" x14ac:dyDescent="0.2">
      <c r="A104" s="1" t="s">
        <v>110</v>
      </c>
      <c r="B104" s="2" t="s">
        <v>109</v>
      </c>
      <c r="C104" s="11"/>
      <c r="D104" s="5" t="s">
        <v>396</v>
      </c>
      <c r="E104" s="12" t="b">
        <f t="shared" si="1"/>
        <v>0</v>
      </c>
      <c r="F104" s="5" t="s">
        <v>110</v>
      </c>
      <c r="G104" s="2"/>
      <c r="H104" s="13"/>
      <c r="I104" s="2"/>
    </row>
    <row r="105" spans="1:9" ht="16" x14ac:dyDescent="0.2">
      <c r="A105" s="1" t="s">
        <v>108</v>
      </c>
      <c r="B105" s="2" t="s">
        <v>107</v>
      </c>
      <c r="C105" s="11"/>
      <c r="D105" s="5" t="s">
        <v>397</v>
      </c>
      <c r="E105" s="12" t="b">
        <f t="shared" si="1"/>
        <v>0</v>
      </c>
      <c r="F105" s="5" t="s">
        <v>108</v>
      </c>
      <c r="G105" s="2"/>
      <c r="H105" s="13"/>
      <c r="I105" s="2"/>
    </row>
    <row r="106" spans="1:9" ht="64" x14ac:dyDescent="0.2">
      <c r="A106" s="1" t="s">
        <v>106</v>
      </c>
      <c r="B106" s="24" t="s">
        <v>305</v>
      </c>
      <c r="C106" s="11"/>
      <c r="D106" s="5" t="s">
        <v>398</v>
      </c>
      <c r="E106" s="12" t="b">
        <f t="shared" si="1"/>
        <v>0</v>
      </c>
      <c r="F106" s="5" t="s">
        <v>106</v>
      </c>
      <c r="G106" s="2" t="s">
        <v>459</v>
      </c>
      <c r="H106" s="13"/>
      <c r="I106" s="2"/>
    </row>
    <row r="107" spans="1:9" ht="271.25" customHeight="1" x14ac:dyDescent="0.2">
      <c r="A107" s="1" t="s">
        <v>105</v>
      </c>
      <c r="B107" s="2" t="s">
        <v>104</v>
      </c>
      <c r="C107" s="11"/>
      <c r="D107" s="5" t="s">
        <v>399</v>
      </c>
      <c r="E107" s="12" t="b">
        <f t="shared" si="1"/>
        <v>0</v>
      </c>
      <c r="F107" s="5" t="s">
        <v>105</v>
      </c>
      <c r="G107" s="24" t="s">
        <v>460</v>
      </c>
      <c r="H107" s="13"/>
      <c r="I107" s="2"/>
    </row>
    <row r="108" spans="1:9" ht="80" x14ac:dyDescent="0.2">
      <c r="A108" s="1" t="s">
        <v>103</v>
      </c>
      <c r="B108" s="2" t="s">
        <v>102</v>
      </c>
      <c r="C108" s="11"/>
      <c r="D108" s="5" t="s">
        <v>400</v>
      </c>
      <c r="E108" s="12" t="b">
        <f t="shared" si="1"/>
        <v>0</v>
      </c>
      <c r="F108" s="5" t="s">
        <v>103</v>
      </c>
      <c r="G108" s="2" t="s">
        <v>461</v>
      </c>
      <c r="H108" s="13"/>
      <c r="I108" s="2"/>
    </row>
    <row r="109" spans="1:9" ht="69" customHeight="1" x14ac:dyDescent="0.2">
      <c r="A109" s="1" t="s">
        <v>101</v>
      </c>
      <c r="B109" s="2" t="s">
        <v>100</v>
      </c>
      <c r="C109" s="11"/>
      <c r="D109" s="5" t="s">
        <v>401</v>
      </c>
      <c r="E109" s="12" t="b">
        <f t="shared" si="1"/>
        <v>0</v>
      </c>
      <c r="F109" s="5" t="s">
        <v>101</v>
      </c>
      <c r="G109" s="2" t="s">
        <v>462</v>
      </c>
      <c r="H109" s="13"/>
      <c r="I109" s="2"/>
    </row>
    <row r="110" spans="1:9" ht="16" x14ac:dyDescent="0.2">
      <c r="A110" s="1" t="s">
        <v>99</v>
      </c>
      <c r="B110" s="2" t="s">
        <v>98</v>
      </c>
      <c r="C110" s="11"/>
      <c r="D110" s="5" t="s">
        <v>402</v>
      </c>
      <c r="E110" s="12" t="b">
        <f t="shared" si="1"/>
        <v>0</v>
      </c>
      <c r="F110" s="5" t="s">
        <v>99</v>
      </c>
      <c r="G110" s="5"/>
      <c r="H110" s="4"/>
      <c r="I110" s="2"/>
    </row>
    <row r="111" spans="1:9" ht="16" x14ac:dyDescent="0.2">
      <c r="A111" s="1" t="s">
        <v>97</v>
      </c>
      <c r="B111" s="2" t="s">
        <v>96</v>
      </c>
      <c r="C111" s="11"/>
      <c r="D111" s="5" t="s">
        <v>403</v>
      </c>
      <c r="E111" s="12" t="b">
        <f t="shared" si="1"/>
        <v>0</v>
      </c>
      <c r="F111" s="5" t="s">
        <v>97</v>
      </c>
      <c r="G111" s="5"/>
      <c r="H111" s="13"/>
      <c r="I111" s="2"/>
    </row>
    <row r="112" spans="1:9" ht="16" x14ac:dyDescent="0.2">
      <c r="A112" s="1" t="s">
        <v>95</v>
      </c>
      <c r="B112" s="24" t="s">
        <v>94</v>
      </c>
      <c r="C112" s="11"/>
      <c r="D112" s="5" t="s">
        <v>404</v>
      </c>
      <c r="E112" s="12" t="b">
        <f t="shared" si="1"/>
        <v>0</v>
      </c>
      <c r="F112" s="5" t="s">
        <v>95</v>
      </c>
      <c r="G112" s="25" t="s">
        <v>463</v>
      </c>
      <c r="H112" s="4"/>
      <c r="I112" s="2"/>
    </row>
    <row r="113" spans="1:9" ht="16" x14ac:dyDescent="0.2">
      <c r="A113" s="1" t="s">
        <v>93</v>
      </c>
      <c r="B113" s="2" t="s">
        <v>92</v>
      </c>
      <c r="C113" s="11"/>
      <c r="D113" s="5" t="s">
        <v>405</v>
      </c>
      <c r="E113" s="12" t="b">
        <f t="shared" si="1"/>
        <v>0</v>
      </c>
      <c r="F113" s="5" t="s">
        <v>93</v>
      </c>
      <c r="G113" s="5"/>
      <c r="H113" s="4"/>
      <c r="I113" s="2"/>
    </row>
    <row r="114" spans="1:9" ht="19.25" customHeight="1" x14ac:dyDescent="0.2">
      <c r="A114" s="1" t="s">
        <v>91</v>
      </c>
      <c r="B114" s="2" t="s">
        <v>90</v>
      </c>
      <c r="C114" s="11"/>
      <c r="D114" s="15" t="s">
        <v>406</v>
      </c>
      <c r="E114" s="12" t="b">
        <f t="shared" si="1"/>
        <v>0</v>
      </c>
      <c r="F114" s="5" t="s">
        <v>91</v>
      </c>
      <c r="G114" s="2" t="s">
        <v>464</v>
      </c>
      <c r="H114" s="4"/>
      <c r="I114" s="2"/>
    </row>
    <row r="115" spans="1:9" ht="16" x14ac:dyDescent="0.2">
      <c r="A115" s="1" t="s">
        <v>89</v>
      </c>
      <c r="B115" s="2" t="s">
        <v>88</v>
      </c>
      <c r="C115" s="11"/>
      <c r="D115" s="5" t="s">
        <v>407</v>
      </c>
      <c r="E115" s="12" t="b">
        <f t="shared" si="1"/>
        <v>0</v>
      </c>
      <c r="F115" s="5" t="s">
        <v>89</v>
      </c>
      <c r="G115" s="5"/>
      <c r="H115" s="4"/>
      <c r="I115" s="2"/>
    </row>
    <row r="116" spans="1:9" ht="16" x14ac:dyDescent="0.2">
      <c r="A116" s="1" t="s">
        <v>87</v>
      </c>
      <c r="B116" s="2" t="s">
        <v>86</v>
      </c>
      <c r="C116" s="11"/>
      <c r="D116" s="5" t="s">
        <v>408</v>
      </c>
      <c r="E116" s="12" t="b">
        <f t="shared" si="1"/>
        <v>0</v>
      </c>
      <c r="F116" s="5" t="s">
        <v>87</v>
      </c>
      <c r="G116" s="5"/>
      <c r="H116" s="4"/>
      <c r="I116" s="2"/>
    </row>
    <row r="117" spans="1:9" ht="16" x14ac:dyDescent="0.2">
      <c r="A117" s="1" t="s">
        <v>85</v>
      </c>
      <c r="B117" s="2" t="s">
        <v>84</v>
      </c>
      <c r="C117" s="11"/>
      <c r="D117" s="5" t="s">
        <v>409</v>
      </c>
      <c r="E117" s="12" t="b">
        <f t="shared" si="1"/>
        <v>0</v>
      </c>
      <c r="F117" s="5" t="s">
        <v>85</v>
      </c>
      <c r="G117" s="5"/>
      <c r="H117" s="13"/>
      <c r="I117" s="2"/>
    </row>
    <row r="118" spans="1:9" ht="16" x14ac:dyDescent="0.2">
      <c r="A118" s="1" t="s">
        <v>83</v>
      </c>
      <c r="B118" s="2" t="s">
        <v>82</v>
      </c>
      <c r="C118" s="11"/>
      <c r="D118" s="5" t="s">
        <v>82</v>
      </c>
      <c r="E118" s="12" t="b">
        <f t="shared" si="1"/>
        <v>0</v>
      </c>
      <c r="F118" s="5" t="s">
        <v>83</v>
      </c>
      <c r="G118" s="2"/>
      <c r="H118" s="4"/>
      <c r="I118" s="2"/>
    </row>
    <row r="119" spans="1:9" ht="16" x14ac:dyDescent="0.2">
      <c r="A119" s="1" t="s">
        <v>81</v>
      </c>
      <c r="B119" s="2" t="s">
        <v>80</v>
      </c>
      <c r="C119" s="11"/>
      <c r="D119" s="5" t="s">
        <v>410</v>
      </c>
      <c r="E119" s="12" t="b">
        <f t="shared" si="1"/>
        <v>0</v>
      </c>
      <c r="F119" s="5" t="s">
        <v>81</v>
      </c>
      <c r="G119" s="5"/>
      <c r="H119" s="13"/>
      <c r="I119" s="2"/>
    </row>
    <row r="120" spans="1:9" ht="16" x14ac:dyDescent="0.2">
      <c r="A120" s="1" t="s">
        <v>79</v>
      </c>
      <c r="B120" s="2" t="s">
        <v>78</v>
      </c>
      <c r="C120" s="11"/>
      <c r="D120" s="5" t="s">
        <v>411</v>
      </c>
      <c r="E120" s="12" t="b">
        <f t="shared" si="1"/>
        <v>0</v>
      </c>
      <c r="F120" s="5" t="s">
        <v>79</v>
      </c>
      <c r="G120" s="5"/>
      <c r="H120" s="4"/>
      <c r="I120" s="2"/>
    </row>
    <row r="121" spans="1:9" ht="16" x14ac:dyDescent="0.2">
      <c r="A121" s="1" t="s">
        <v>77</v>
      </c>
      <c r="B121" s="2" t="s">
        <v>76</v>
      </c>
      <c r="C121" s="11"/>
      <c r="D121" s="5" t="s">
        <v>412</v>
      </c>
      <c r="E121" s="12" t="b">
        <f t="shared" si="1"/>
        <v>0</v>
      </c>
      <c r="F121" s="5" t="s">
        <v>77</v>
      </c>
      <c r="G121" s="5"/>
      <c r="H121" s="4"/>
      <c r="I121" s="2"/>
    </row>
    <row r="122" spans="1:9" ht="16" x14ac:dyDescent="0.2">
      <c r="A122" s="1" t="s">
        <v>75</v>
      </c>
      <c r="B122" s="2" t="s">
        <v>74</v>
      </c>
      <c r="C122" s="11"/>
      <c r="D122" s="5" t="s">
        <v>413</v>
      </c>
      <c r="E122" s="12" t="b">
        <f t="shared" si="1"/>
        <v>0</v>
      </c>
      <c r="F122" s="5" t="s">
        <v>75</v>
      </c>
      <c r="G122" s="5"/>
      <c r="H122" s="13"/>
      <c r="I122" s="2"/>
    </row>
    <row r="123" spans="1:9" ht="16" x14ac:dyDescent="0.2">
      <c r="A123" s="1" t="s">
        <v>73</v>
      </c>
      <c r="B123" s="2" t="s">
        <v>72</v>
      </c>
      <c r="C123" s="11"/>
      <c r="D123" s="5" t="s">
        <v>414</v>
      </c>
      <c r="E123" s="12" t="b">
        <f t="shared" si="1"/>
        <v>0</v>
      </c>
      <c r="F123" s="5" t="s">
        <v>73</v>
      </c>
      <c r="G123" s="25" t="s">
        <v>465</v>
      </c>
      <c r="H123" s="4"/>
      <c r="I123" s="2"/>
    </row>
    <row r="124" spans="1:9" ht="16" x14ac:dyDescent="0.2">
      <c r="A124" s="1" t="s">
        <v>71</v>
      </c>
      <c r="B124" s="2" t="s">
        <v>70</v>
      </c>
      <c r="C124" s="11"/>
      <c r="D124" s="5" t="s">
        <v>415</v>
      </c>
      <c r="E124" s="12" t="b">
        <f t="shared" si="1"/>
        <v>0</v>
      </c>
      <c r="F124" s="5" t="s">
        <v>71</v>
      </c>
      <c r="G124" s="5"/>
      <c r="H124" s="13"/>
      <c r="I124" s="2"/>
    </row>
    <row r="125" spans="1:9" ht="16" x14ac:dyDescent="0.2">
      <c r="A125" s="1" t="s">
        <v>69</v>
      </c>
      <c r="B125" s="2" t="s">
        <v>68</v>
      </c>
      <c r="C125" s="11"/>
      <c r="D125" s="5" t="s">
        <v>416</v>
      </c>
      <c r="E125" s="12" t="b">
        <f t="shared" si="1"/>
        <v>0</v>
      </c>
      <c r="F125" s="5" t="s">
        <v>69</v>
      </c>
      <c r="G125" s="5"/>
      <c r="H125" s="4"/>
      <c r="I125" s="2"/>
    </row>
    <row r="126" spans="1:9" ht="16" x14ac:dyDescent="0.2">
      <c r="A126" s="1" t="s">
        <v>67</v>
      </c>
      <c r="B126" s="2" t="s">
        <v>66</v>
      </c>
      <c r="C126" s="11"/>
      <c r="D126" s="5" t="s">
        <v>417</v>
      </c>
      <c r="E126" s="12" t="b">
        <f t="shared" si="1"/>
        <v>0</v>
      </c>
      <c r="F126" s="5" t="s">
        <v>67</v>
      </c>
      <c r="G126" s="5"/>
      <c r="H126" s="13"/>
      <c r="I126" s="2"/>
    </row>
    <row r="127" spans="1:9" ht="16" x14ac:dyDescent="0.2">
      <c r="A127" s="1" t="s">
        <v>65</v>
      </c>
      <c r="B127" s="2" t="s">
        <v>64</v>
      </c>
      <c r="C127" s="11"/>
      <c r="D127" s="5" t="s">
        <v>327</v>
      </c>
      <c r="E127" s="12" t="b">
        <f t="shared" si="1"/>
        <v>0</v>
      </c>
      <c r="F127" s="5" t="s">
        <v>65</v>
      </c>
      <c r="G127" s="5"/>
      <c r="H127" s="13"/>
      <c r="I127" s="2"/>
    </row>
    <row r="128" spans="1:9" ht="16" x14ac:dyDescent="0.2">
      <c r="A128" s="1" t="s">
        <v>63</v>
      </c>
      <c r="B128" s="2" t="s">
        <v>62</v>
      </c>
      <c r="C128" s="11"/>
      <c r="D128" s="5" t="s">
        <v>418</v>
      </c>
      <c r="E128" s="12" t="b">
        <f t="shared" si="1"/>
        <v>0</v>
      </c>
      <c r="F128" s="5" t="s">
        <v>63</v>
      </c>
      <c r="G128" s="5"/>
      <c r="H128" s="13"/>
      <c r="I128" s="2"/>
    </row>
    <row r="129" spans="1:9" ht="16" x14ac:dyDescent="0.2">
      <c r="A129" s="1" t="s">
        <v>61</v>
      </c>
      <c r="B129" s="2" t="s">
        <v>60</v>
      </c>
      <c r="C129" s="11"/>
      <c r="D129" s="5" t="s">
        <v>351</v>
      </c>
      <c r="E129" s="12" t="b">
        <f t="shared" si="1"/>
        <v>0</v>
      </c>
      <c r="F129" s="5" t="s">
        <v>61</v>
      </c>
      <c r="G129" s="5"/>
      <c r="H129" s="4"/>
      <c r="I129" s="2"/>
    </row>
    <row r="130" spans="1:9" ht="16" x14ac:dyDescent="0.2">
      <c r="A130" s="1" t="s">
        <v>59</v>
      </c>
      <c r="B130" s="2" t="s">
        <v>58</v>
      </c>
      <c r="C130" s="11"/>
      <c r="D130" s="5" t="s">
        <v>348</v>
      </c>
      <c r="E130" s="12" t="b">
        <f t="shared" si="1"/>
        <v>0</v>
      </c>
      <c r="F130" s="5" t="s">
        <v>59</v>
      </c>
      <c r="G130" s="5"/>
      <c r="H130" s="4"/>
      <c r="I130" s="2"/>
    </row>
    <row r="131" spans="1:9" ht="16" x14ac:dyDescent="0.2">
      <c r="A131" s="1" t="s">
        <v>57</v>
      </c>
      <c r="B131" s="2" t="s">
        <v>56</v>
      </c>
      <c r="C131" s="11"/>
      <c r="D131" s="5" t="s">
        <v>56</v>
      </c>
      <c r="E131" s="12" t="b">
        <f t="shared" ref="E131:E159" si="2">B131=G131</f>
        <v>0</v>
      </c>
      <c r="F131" s="5" t="s">
        <v>57</v>
      </c>
      <c r="G131" s="2"/>
      <c r="H131" s="4"/>
      <c r="I131" s="2"/>
    </row>
    <row r="132" spans="1:9" ht="16" x14ac:dyDescent="0.2">
      <c r="A132" s="1" t="s">
        <v>55</v>
      </c>
      <c r="B132" s="2" t="s">
        <v>54</v>
      </c>
      <c r="C132" s="11"/>
      <c r="D132" s="5" t="s">
        <v>419</v>
      </c>
      <c r="E132" s="12" t="b">
        <f t="shared" si="2"/>
        <v>0</v>
      </c>
      <c r="F132" s="5" t="s">
        <v>55</v>
      </c>
      <c r="G132" s="5"/>
      <c r="H132" s="13"/>
      <c r="I132" s="2"/>
    </row>
    <row r="133" spans="1:9" ht="16" x14ac:dyDescent="0.2">
      <c r="A133" s="1" t="s">
        <v>53</v>
      </c>
      <c r="B133" s="2" t="s">
        <v>52</v>
      </c>
      <c r="C133" s="11"/>
      <c r="D133" s="5" t="s">
        <v>350</v>
      </c>
      <c r="E133" s="12" t="b">
        <f t="shared" si="2"/>
        <v>0</v>
      </c>
      <c r="F133" s="5" t="s">
        <v>53</v>
      </c>
      <c r="G133" s="2"/>
      <c r="H133" s="4"/>
      <c r="I133" s="2"/>
    </row>
    <row r="134" spans="1:9" ht="16" x14ac:dyDescent="0.2">
      <c r="A134" s="1" t="s">
        <v>51</v>
      </c>
      <c r="B134" s="2" t="s">
        <v>50</v>
      </c>
      <c r="C134" s="11"/>
      <c r="D134" s="5" t="s">
        <v>420</v>
      </c>
      <c r="E134" s="12" t="b">
        <f t="shared" si="2"/>
        <v>0</v>
      </c>
      <c r="F134" s="5" t="s">
        <v>51</v>
      </c>
      <c r="G134" s="5"/>
      <c r="H134" s="4"/>
      <c r="I134" s="2"/>
    </row>
    <row r="135" spans="1:9" ht="16" x14ac:dyDescent="0.2">
      <c r="A135" s="1" t="s">
        <v>49</v>
      </c>
      <c r="B135" s="2" t="s">
        <v>48</v>
      </c>
      <c r="C135" s="11"/>
      <c r="D135" s="5" t="s">
        <v>421</v>
      </c>
      <c r="E135" s="12" t="b">
        <f t="shared" si="2"/>
        <v>0</v>
      </c>
      <c r="F135" s="5" t="s">
        <v>49</v>
      </c>
      <c r="G135" s="24" t="s">
        <v>466</v>
      </c>
      <c r="H135" s="13"/>
      <c r="I135" s="2"/>
    </row>
    <row r="136" spans="1:9" ht="16" x14ac:dyDescent="0.2">
      <c r="A136" s="1" t="s">
        <v>47</v>
      </c>
      <c r="B136" s="2" t="s">
        <v>46</v>
      </c>
      <c r="C136" s="11"/>
      <c r="D136" s="5" t="s">
        <v>422</v>
      </c>
      <c r="E136" s="12" t="b">
        <f t="shared" si="2"/>
        <v>0</v>
      </c>
      <c r="F136" s="5" t="s">
        <v>47</v>
      </c>
      <c r="G136" s="24" t="s">
        <v>467</v>
      </c>
      <c r="H136" s="13"/>
      <c r="I136" s="2"/>
    </row>
    <row r="137" spans="1:9" ht="16" x14ac:dyDescent="0.2">
      <c r="A137" s="1" t="s">
        <v>45</v>
      </c>
      <c r="B137" s="2" t="s">
        <v>44</v>
      </c>
      <c r="C137" s="11"/>
      <c r="D137" s="5" t="s">
        <v>423</v>
      </c>
      <c r="E137" s="12" t="b">
        <f t="shared" si="2"/>
        <v>0</v>
      </c>
      <c r="F137" s="5" t="s">
        <v>45</v>
      </c>
      <c r="G137" s="24" t="s">
        <v>468</v>
      </c>
      <c r="H137" s="13"/>
      <c r="I137" s="2"/>
    </row>
    <row r="138" spans="1:9" ht="16" x14ac:dyDescent="0.2">
      <c r="A138" s="1" t="s">
        <v>43</v>
      </c>
      <c r="B138" s="2" t="s">
        <v>42</v>
      </c>
      <c r="C138" s="11"/>
      <c r="D138" s="5" t="s">
        <v>424</v>
      </c>
      <c r="E138" s="12" t="b">
        <f t="shared" si="2"/>
        <v>0</v>
      </c>
      <c r="F138" s="5" t="s">
        <v>43</v>
      </c>
      <c r="G138" s="24" t="s">
        <v>469</v>
      </c>
      <c r="H138" s="13"/>
      <c r="I138" s="2"/>
    </row>
    <row r="139" spans="1:9" ht="16" x14ac:dyDescent="0.2">
      <c r="A139" s="1" t="s">
        <v>41</v>
      </c>
      <c r="B139" s="2" t="s">
        <v>40</v>
      </c>
      <c r="C139" s="11"/>
      <c r="D139" s="5" t="s">
        <v>425</v>
      </c>
      <c r="E139" s="12" t="b">
        <f t="shared" si="2"/>
        <v>0</v>
      </c>
      <c r="F139" s="5" t="s">
        <v>41</v>
      </c>
      <c r="G139" s="5"/>
      <c r="H139" s="13"/>
      <c r="I139" s="2"/>
    </row>
    <row r="140" spans="1:9" ht="16" x14ac:dyDescent="0.2">
      <c r="A140" s="1" t="s">
        <v>39</v>
      </c>
      <c r="B140" s="2" t="s">
        <v>38</v>
      </c>
      <c r="C140" s="11"/>
      <c r="D140" s="5" t="s">
        <v>426</v>
      </c>
      <c r="E140" s="12" t="b">
        <f t="shared" si="2"/>
        <v>0</v>
      </c>
      <c r="F140" s="5" t="s">
        <v>39</v>
      </c>
      <c r="G140" s="5"/>
      <c r="H140" s="13"/>
      <c r="I140" s="2"/>
    </row>
    <row r="141" spans="1:9" ht="16" x14ac:dyDescent="0.2">
      <c r="A141" s="1" t="s">
        <v>37</v>
      </c>
      <c r="B141" s="2" t="s">
        <v>36</v>
      </c>
      <c r="C141" s="11"/>
      <c r="D141" s="5" t="s">
        <v>352</v>
      </c>
      <c r="E141" s="12" t="b">
        <f t="shared" si="2"/>
        <v>0</v>
      </c>
      <c r="F141" s="5" t="s">
        <v>37</v>
      </c>
      <c r="G141" s="5"/>
      <c r="H141" s="13"/>
      <c r="I141" s="2"/>
    </row>
    <row r="142" spans="1:9" ht="16" x14ac:dyDescent="0.2">
      <c r="A142" s="1" t="s">
        <v>35</v>
      </c>
      <c r="B142" s="2" t="s">
        <v>34</v>
      </c>
      <c r="C142" s="11"/>
      <c r="D142" s="5" t="s">
        <v>427</v>
      </c>
      <c r="E142" s="12" t="b">
        <f t="shared" si="2"/>
        <v>0</v>
      </c>
      <c r="F142" s="5" t="s">
        <v>35</v>
      </c>
      <c r="G142" s="5"/>
      <c r="H142" s="13"/>
      <c r="I142" s="2"/>
    </row>
    <row r="143" spans="1:9" ht="16" x14ac:dyDescent="0.2">
      <c r="A143" s="1" t="s">
        <v>33</v>
      </c>
      <c r="B143" s="2" t="s">
        <v>32</v>
      </c>
      <c r="C143" s="11"/>
      <c r="D143" s="5" t="s">
        <v>428</v>
      </c>
      <c r="E143" s="12" t="b">
        <f t="shared" si="2"/>
        <v>0</v>
      </c>
      <c r="F143" s="5" t="s">
        <v>33</v>
      </c>
      <c r="G143" s="5"/>
      <c r="H143" s="13"/>
      <c r="I143" s="2"/>
    </row>
    <row r="144" spans="1:9" ht="16" x14ac:dyDescent="0.2">
      <c r="A144" s="1" t="s">
        <v>31</v>
      </c>
      <c r="B144" s="2" t="s">
        <v>30</v>
      </c>
      <c r="C144" s="11"/>
      <c r="D144" s="5" t="s">
        <v>429</v>
      </c>
      <c r="E144" s="12" t="b">
        <f t="shared" si="2"/>
        <v>0</v>
      </c>
      <c r="F144" s="5" t="s">
        <v>31</v>
      </c>
      <c r="G144" s="5"/>
      <c r="H144" s="13"/>
      <c r="I144" s="2"/>
    </row>
    <row r="145" spans="1:9" ht="48" x14ac:dyDescent="0.2">
      <c r="A145" s="1" t="s">
        <v>29</v>
      </c>
      <c r="B145" s="2" t="s">
        <v>28</v>
      </c>
      <c r="C145" s="11"/>
      <c r="D145" s="5" t="s">
        <v>430</v>
      </c>
      <c r="E145" s="12" t="b">
        <f t="shared" si="2"/>
        <v>0</v>
      </c>
      <c r="F145" s="5" t="s">
        <v>29</v>
      </c>
      <c r="G145" s="24" t="s">
        <v>470</v>
      </c>
      <c r="H145" s="4"/>
      <c r="I145" s="2"/>
    </row>
    <row r="146" spans="1:9" ht="16" x14ac:dyDescent="0.2">
      <c r="A146" s="1" t="s">
        <v>27</v>
      </c>
      <c r="B146" s="6" t="s">
        <v>26</v>
      </c>
      <c r="C146" s="11"/>
      <c r="D146" s="5" t="s">
        <v>431</v>
      </c>
      <c r="E146" s="12" t="b">
        <f t="shared" si="2"/>
        <v>0</v>
      </c>
      <c r="F146" s="5" t="s">
        <v>27</v>
      </c>
      <c r="G146" s="5"/>
      <c r="H146" s="13"/>
      <c r="I146" s="2"/>
    </row>
    <row r="147" spans="1:9" ht="16" x14ac:dyDescent="0.2">
      <c r="A147" s="1" t="s">
        <v>25</v>
      </c>
      <c r="B147" s="2" t="s">
        <v>24</v>
      </c>
      <c r="C147" s="11"/>
      <c r="D147" s="5" t="s">
        <v>432</v>
      </c>
      <c r="E147" s="12" t="b">
        <f t="shared" si="2"/>
        <v>0</v>
      </c>
      <c r="F147" s="5" t="s">
        <v>25</v>
      </c>
      <c r="G147" s="5"/>
      <c r="H147" s="13"/>
      <c r="I147" s="2"/>
    </row>
    <row r="148" spans="1:9" ht="16" x14ac:dyDescent="0.2">
      <c r="A148" s="1" t="s">
        <v>23</v>
      </c>
      <c r="B148" s="2" t="s">
        <v>22</v>
      </c>
      <c r="C148" s="11"/>
      <c r="D148" s="5" t="s">
        <v>433</v>
      </c>
      <c r="E148" s="12" t="b">
        <f t="shared" si="2"/>
        <v>0</v>
      </c>
      <c r="F148" s="5" t="s">
        <v>23</v>
      </c>
      <c r="G148" s="5"/>
      <c r="H148" s="13"/>
      <c r="I148" s="2"/>
    </row>
    <row r="149" spans="1:9" ht="16" x14ac:dyDescent="0.2">
      <c r="A149" s="1" t="s">
        <v>21</v>
      </c>
      <c r="B149" s="2" t="s">
        <v>20</v>
      </c>
      <c r="C149" s="11"/>
      <c r="D149" s="5" t="s">
        <v>434</v>
      </c>
      <c r="E149" s="12" t="b">
        <f t="shared" si="2"/>
        <v>0</v>
      </c>
      <c r="F149" s="5" t="s">
        <v>21</v>
      </c>
      <c r="G149" s="5"/>
      <c r="H149" s="13"/>
      <c r="I149" s="2"/>
    </row>
    <row r="150" spans="1:9" ht="16" x14ac:dyDescent="0.2">
      <c r="A150" s="1" t="s">
        <v>19</v>
      </c>
      <c r="B150" s="2" t="s">
        <v>18</v>
      </c>
      <c r="C150" s="11"/>
      <c r="D150" s="5" t="s">
        <v>435</v>
      </c>
      <c r="E150" s="12" t="b">
        <f t="shared" si="2"/>
        <v>0</v>
      </c>
      <c r="F150" s="5" t="s">
        <v>19</v>
      </c>
      <c r="G150" s="5"/>
      <c r="H150" s="13"/>
      <c r="I150" s="2"/>
    </row>
    <row r="151" spans="1:9" ht="16" x14ac:dyDescent="0.2">
      <c r="A151" s="1" t="s">
        <v>17</v>
      </c>
      <c r="B151" s="2" t="s">
        <v>16</v>
      </c>
      <c r="C151" s="11"/>
      <c r="D151" s="5" t="s">
        <v>16</v>
      </c>
      <c r="E151" s="12" t="b">
        <f t="shared" si="2"/>
        <v>0</v>
      </c>
      <c r="F151" s="5" t="s">
        <v>17</v>
      </c>
      <c r="G151" s="5"/>
      <c r="H151" s="13"/>
      <c r="I151" s="2"/>
    </row>
    <row r="152" spans="1:9" ht="16" x14ac:dyDescent="0.2">
      <c r="A152" s="1" t="s">
        <v>15</v>
      </c>
      <c r="B152" s="2" t="s">
        <v>14</v>
      </c>
      <c r="C152" s="11"/>
      <c r="D152" s="5" t="s">
        <v>14</v>
      </c>
      <c r="E152" s="12" t="b">
        <f t="shared" si="2"/>
        <v>0</v>
      </c>
      <c r="F152" s="5" t="s">
        <v>15</v>
      </c>
      <c r="G152" s="5"/>
      <c r="H152" s="13"/>
      <c r="I152" s="2"/>
    </row>
    <row r="153" spans="1:9" ht="16" x14ac:dyDescent="0.2">
      <c r="A153" s="1" t="s">
        <v>13</v>
      </c>
      <c r="B153" s="2" t="s">
        <v>12</v>
      </c>
      <c r="C153" s="11"/>
      <c r="D153" s="5" t="s">
        <v>436</v>
      </c>
      <c r="E153" s="12" t="b">
        <f t="shared" si="2"/>
        <v>0</v>
      </c>
      <c r="F153" s="5" t="s">
        <v>13</v>
      </c>
      <c r="G153" s="5"/>
      <c r="H153" s="13"/>
      <c r="I153" s="2"/>
    </row>
    <row r="154" spans="1:9" ht="16" x14ac:dyDescent="0.2">
      <c r="A154" s="1" t="s">
        <v>11</v>
      </c>
      <c r="B154" s="2" t="s">
        <v>10</v>
      </c>
      <c r="C154" s="11"/>
      <c r="D154" s="5" t="s">
        <v>437</v>
      </c>
      <c r="E154" s="12" t="b">
        <f t="shared" si="2"/>
        <v>0</v>
      </c>
      <c r="F154" s="5" t="s">
        <v>11</v>
      </c>
      <c r="G154" s="5"/>
      <c r="H154" s="13"/>
      <c r="I154" s="2"/>
    </row>
    <row r="155" spans="1:9" ht="16" x14ac:dyDescent="0.2">
      <c r="A155" s="1" t="s">
        <v>9</v>
      </c>
      <c r="B155" s="2" t="s">
        <v>8</v>
      </c>
      <c r="C155" s="11"/>
      <c r="D155" s="5" t="s">
        <v>438</v>
      </c>
      <c r="E155" s="12" t="b">
        <f t="shared" si="2"/>
        <v>0</v>
      </c>
      <c r="F155" s="5" t="s">
        <v>9</v>
      </c>
      <c r="G155" s="5"/>
      <c r="H155" s="13"/>
      <c r="I155" s="2"/>
    </row>
    <row r="156" spans="1:9" ht="16" x14ac:dyDescent="0.2">
      <c r="A156" s="1" t="s">
        <v>7</v>
      </c>
      <c r="B156" s="2" t="s">
        <v>6</v>
      </c>
      <c r="C156" s="11"/>
      <c r="D156" s="5" t="s">
        <v>439</v>
      </c>
      <c r="E156" s="12" t="b">
        <f t="shared" si="2"/>
        <v>0</v>
      </c>
      <c r="F156" s="5" t="s">
        <v>7</v>
      </c>
      <c r="G156" s="5"/>
      <c r="H156" s="13"/>
      <c r="I156" s="2"/>
    </row>
    <row r="157" spans="1:9" ht="16" x14ac:dyDescent="0.2">
      <c r="A157" s="1" t="s">
        <v>5</v>
      </c>
      <c r="B157" s="2" t="s">
        <v>4</v>
      </c>
      <c r="C157" s="11"/>
      <c r="D157" s="5" t="s">
        <v>338</v>
      </c>
      <c r="E157" s="12" t="b">
        <f t="shared" si="2"/>
        <v>0</v>
      </c>
      <c r="F157" s="5" t="s">
        <v>5</v>
      </c>
      <c r="G157" s="5"/>
      <c r="H157" s="13"/>
      <c r="I157" s="2"/>
    </row>
    <row r="158" spans="1:9" ht="16" x14ac:dyDescent="0.2">
      <c r="A158" s="1" t="s">
        <v>3</v>
      </c>
      <c r="B158" s="2" t="s">
        <v>2</v>
      </c>
      <c r="C158" s="11"/>
      <c r="D158" s="5" t="s">
        <v>339</v>
      </c>
      <c r="E158" s="12" t="b">
        <f t="shared" si="2"/>
        <v>0</v>
      </c>
      <c r="F158" s="5" t="s">
        <v>3</v>
      </c>
      <c r="G158" s="5"/>
      <c r="H158" s="13"/>
      <c r="I158" s="2"/>
    </row>
    <row r="159" spans="1:9" ht="17" thickBot="1" x14ac:dyDescent="0.25">
      <c r="A159" s="16" t="s">
        <v>1</v>
      </c>
      <c r="B159" s="3" t="s">
        <v>0</v>
      </c>
      <c r="C159" s="18"/>
      <c r="D159" s="19" t="s">
        <v>440</v>
      </c>
      <c r="E159" s="20" t="b">
        <f t="shared" si="2"/>
        <v>0</v>
      </c>
      <c r="F159" s="17" t="s">
        <v>1</v>
      </c>
      <c r="G159" s="17"/>
      <c r="H159" s="18"/>
      <c r="I159" s="2"/>
    </row>
  </sheetData>
  <conditionalFormatting sqref="E2:E159">
    <cfRule type="cellIs" dxfId="1" priority="1" operator="equal">
      <formula>FALSE</formula>
    </cfRule>
    <cfRule type="cellIs" dxfId="0" priority="2" operator="equal">
      <formula>TRUE</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Microsoft Office User</cp:lastModifiedBy>
  <dcterms:created xsi:type="dcterms:W3CDTF">2026-02-02T10:32:56Z</dcterms:created>
  <dcterms:modified xsi:type="dcterms:W3CDTF">2026-03-07T07:10:10Z</dcterms:modified>
</cp:coreProperties>
</file>